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24CD15DC-0D5B-4399-A5B2-1B9193AA100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/>
  <c r="I9" i="10"/>
  <c r="J9" i="10"/>
  <c r="H9" i="10"/>
  <c r="F9" i="10"/>
  <c r="H2" i="9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<sst xmlns="http://schemas.openxmlformats.org/spreadsheetml/2006/main" count="496" uniqueCount="441">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</sst>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8" Type="http://schemas.openxmlformats.org/officeDocument/2006/relationships/worksheet" Target="worksheets/sheet8.xml"/>
  <Relationship Id="rId13" Type="http://schemas.openxmlformats.org/officeDocument/2006/relationships/worksheet" Target="worksheets/sheet13.xml"/>
  <Relationship Id="rId18" Type="http://schemas.openxmlformats.org/officeDocument/2006/relationships/styles" Target="styles.xml"/>
  <Relationship Id="rId3" Type="http://schemas.openxmlformats.org/officeDocument/2006/relationships/worksheet" Target="worksheets/sheet3.xml"/>
  <Relationship Id="rId21" Type="http://schemas.openxmlformats.org/officeDocument/2006/relationships/calcChain" Target="calcChain.xml"/>
  <Relationship Id="rId7" Type="http://schemas.openxmlformats.org/officeDocument/2006/relationships/worksheet" Target="worksheets/sheet7.xml"/>
  <Relationship Id="rId12" Type="http://schemas.openxmlformats.org/officeDocument/2006/relationships/worksheet" Target="worksheets/sheet12.xml"/>
  <Relationship Id="rId17" Type="http://schemas.openxmlformats.org/officeDocument/2006/relationships/theme" Target="theme/theme1.xml"/>
  <Relationship Id="rId2" Type="http://schemas.openxmlformats.org/officeDocument/2006/relationships/worksheet" Target="worksheets/sheet2.xml"/>
  <Relationship Id="rId16" Type="http://schemas.openxmlformats.org/officeDocument/2006/relationships/pivotCacheDefinition" Target="pivotCache/pivotCacheDefinition1.xml"/>
  <Relationship Id="rId20" Type="http://schemas.openxmlformats.org/officeDocument/2006/relationships/sheetMetadata" Target="metadata.xml"/>
  <Relationship Id="rId1" Type="http://schemas.openxmlformats.org/officeDocument/2006/relationships/worksheet" Target="worksheets/sheet1.xml"/>
  <Relationship Id="rId6" Type="http://schemas.openxmlformats.org/officeDocument/2006/relationships/worksheet" Target="worksheets/sheet6.xml"/>
  <Relationship Id="rId11" Type="http://schemas.openxmlformats.org/officeDocument/2006/relationships/worksheet" Target="worksheets/sheet11.xml"/>
  <Relationship Id="rId5" Type="http://schemas.openxmlformats.org/officeDocument/2006/relationships/worksheet" Target="worksheets/sheet5.xml"/>
  <Relationship Id="rId15" Type="http://schemas.openxmlformats.org/officeDocument/2006/relationships/externalLink" Target="externalLinks/externalLink1.xml"/>
  <Relationship Id="rId10" Type="http://schemas.openxmlformats.org/officeDocument/2006/relationships/worksheet" Target="worksheets/sheet10.xml"/>
  <Relationship Id="rId19" Type="http://schemas.openxmlformats.org/officeDocument/2006/relationships/sharedStrings" Target="sharedStrings.xml"/>
  <Relationship Id="rId4" Type="http://schemas.openxmlformats.org/officeDocument/2006/relationships/worksheet" Target="worksheets/sheet4.xml"/>
  <Relationship Id="rId9" Type="http://schemas.openxmlformats.org/officeDocument/2006/relationships/worksheet" Target="worksheets/sheet9.xml"/>
  <Relationship Id="rId14" Type="http://schemas.openxmlformats.org/officeDocument/2006/relationships/worksheet" Target="worksheets/sheet14.xml"/>
</Relationships>

</file>

<file path=xl/charts/_rels/chart1.xml.rels><?xml version="1.0" encoding="UTF-8" standalone="yes"?>
<Relationships xmlns="http://schemas.openxmlformats.org/package/2006/relationships">
  <Relationship Id="rId2" Type="http://schemas.microsoft.com/office/2011/relationships/chartColorStyle" Target="colors1.xml"/>
  <Relationship Id="rId1" Type="http://schemas.microsoft.com/office/2011/relationships/chartStyle" Target="style1.xml"/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chart with composite ranges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cat>
            <c:strRef>
              <c:f>Sheet1!$A$27:$C$35,Sheet1!$A$27:$C$31</c:f>
              <c:strCache>
                <c:ptCount val="5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</c:strCache>
            </c:strRef>
          </c:cat>
          <c:val>
            <c:numRef>
              <c:f>Sheet1!$B$27:$B$31</c:f>
              <c:numCache>
                <c:formatCode>General</c:formatCode>
                <c:ptCount val="5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7CB-4BB7-A9D8-9DA337DFF3C5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Sheet1!$A$27:$A$31</c:f>
              <c:strCache>
                <c:ptCount val="5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</c:strCache>
            </c:strRef>
          </c:cat>
          <c:val>
            <c:numRef>
              <c:f>Sheet1!$C$27:$C$31</c:f>
              <c:numCache>
                <c:formatCode>General</c:formatCode>
                <c:ptCount val="5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7CB-4BB7-A9D8-9DA337DF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
<Relationships xmlns="http://schemas.openxmlformats.org/package/2006/relationships">
  <Relationship Id="rId8" Type="http://schemas.openxmlformats.org/officeDocument/2006/relationships/chart" Target="../charts/chart8.xml"/>
  <Relationship Id="rId3" Type="http://schemas.openxmlformats.org/officeDocument/2006/relationships/chart" Target="../charts/chart3.xml"/>
  <Relationship Id="rId7" Type="http://schemas.openxmlformats.org/officeDocument/2006/relationships/chart" Target="../charts/chart7.xml"/>
  <Relationship Id="rId2" Type="http://schemas.openxmlformats.org/officeDocument/2006/relationships/chart" Target="../charts/chart2.xml"/>
  <Relationship Id="rId1" Type="http://schemas.openxmlformats.org/officeDocument/2006/relationships/chart" Target="../charts/chart1.xml"/>
  <Relationship Id="rId6" Type="http://schemas.openxmlformats.org/officeDocument/2006/relationships/chart" Target="../charts/chart6.xml"/>
  <Relationship Id="rId5" Type="http://schemas.openxmlformats.org/officeDocument/2006/relationships/chart" Target="../charts/chart5.xml"/>
  <Relationship Id="rId4" Type="http://schemas.openxmlformats.org/officeDocument/2006/relationships/chart" Target="../charts/chart4.xml"/>
  <Relationship Id="rId9" Type="http://schemas.openxmlformats.org/officeDocument/2006/relationships/chart" Target="../charts/chart9.xml"/>
</Relationships>
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image" Target="../media/image1.png"/>
</Relationships>

</file>

<file path=xl/drawings/_rels/drawing3.xml.rels><?xml version="1.0" encoding="UTF-8" standalone="yes"?>
<Relationships xmlns="http://schemas.openxmlformats.org/package/2006/relationships">
  <Relationship Id="rId2" Type="http://schemas.openxmlformats.org/officeDocument/2006/relationships/image" Target="../media/image1.png"/>
  <Relationship Id="rId1" Type="http://schemas.openxmlformats.org/officeDocument/2006/relationships/chart" Target="../charts/chart10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904875</xdr:colOff>
      <xdr:row>33</xdr:row>
      <xdr:rowOff>0</xdr:rowOff>
    </xdr:from>
    <xdr:to>
      <xdr:col>16</xdr:col>
      <xdr:colOff>142875</xdr:colOff>
      <xdr:row>46</xdr:row>
      <xdr:rowOff>9525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9E3EA9F7-57EC-48BF-B89B-57BA25057E9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
<Relationships xmlns="http://schemas.openxmlformats.org/package/2006/relationships">
  <Relationship Id="rId2" Type="http://schemas.openxmlformats.org/officeDocument/2006/relationships/externalLinkPath" Target="../../../../Users/Adrien/odoo/spreadsheet/tests/__xlsx__/test%20theme.xlsx" TargetMode="External"/>
  <Relationship Id="rId1" Type="http://schemas.openxmlformats.org/officeDocument/2006/relationships/externalLinkPath" Target="/Users/Adrien/odoo/spreadsheet/tests/__xlsx__/test%20theme.xlsx" TargetMode="External"/>
</Relationships>
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
<Relationships xmlns="http://schemas.openxmlformats.org/package/2006/relationships">
  <Relationship Id="rId1" Type="http://schemas.openxmlformats.org/officeDocument/2006/relationships/pivotCacheRecords" Target="pivotCacheRecords1.xml"/>
</Relationships>
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
<Relationships xmlns="http://schemas.openxmlformats.org/package/2006/relationships">
  <Relationship Id="rId1" Type="http://schemas.openxmlformats.org/officeDocument/2006/relationships/pivotCacheDefinition" Target="../pivotCache/pivotCacheDefinition1.xml"/>
</Relationships>
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
  <Relationship Id="rId2" Type="http://schemas.openxmlformats.org/officeDocument/2006/relationships/hyperlink" Target="https://odoo.com/" TargetMode="External"/>
  <Relationship Id="rId1" Type="http://schemas.openxmlformats.org/officeDocument/2006/relationships/hyperlink" Target="https://github.com/odoo/owl" TargetMode="External"/>
</Relationships>

</file>

<file path=xl/worksheets/_rels/sheet3.xml.rels><?xml version="1.0" encoding="UTF-8" standalone="yes"?>
<Relationships xmlns="http://schemas.openxmlformats.org/package/2006/relationships">
  <Relationship Id="rId1" Type="http://schemas.openxmlformats.org/officeDocument/2006/relationships/hyperlink" Target="https://www.odoo.com/" TargetMode="External"/>
</Relationships>

</file>

<file path=xl/worksheets/_rels/sheet6.xml.rels><?xml version="1.0" encoding="UTF-8" standalone="yes"?>
<Relationships xmlns="http://schemas.openxmlformats.org/package/2006/relationships">
  <Relationship Id="rId8" Type="http://schemas.openxmlformats.org/officeDocument/2006/relationships/table" Target="../tables/table8.xml"/>
  <Relationship Id="rId3" Type="http://schemas.openxmlformats.org/officeDocument/2006/relationships/table" Target="../tables/table3.xml"/>
  <Relationship Id="rId7" Type="http://schemas.openxmlformats.org/officeDocument/2006/relationships/table" Target="../tables/table7.xml"/>
  <Relationship Id="rId2" Type="http://schemas.openxmlformats.org/officeDocument/2006/relationships/table" Target="../tables/table2.xml"/>
  <Relationship Id="rId1" Type="http://schemas.openxmlformats.org/officeDocument/2006/relationships/table" Target="../tables/table1.xml"/>
  <Relationship Id="rId6" Type="http://schemas.openxmlformats.org/officeDocument/2006/relationships/table" Target="../tables/table6.xml"/>
  <Relationship Id="rId5" Type="http://schemas.openxmlformats.org/officeDocument/2006/relationships/table" Target="../tables/table5.xml"/>
  <Relationship Id="rId10" Type="http://schemas.openxmlformats.org/officeDocument/2006/relationships/table" Target="../tables/table10.xml"/>
  <Relationship Id="rId4" Type="http://schemas.openxmlformats.org/officeDocument/2006/relationships/table" Target="../tables/table4.xml"/>
  <Relationship Id="rId9" Type="http://schemas.openxmlformats.org/officeDocument/2006/relationships/table" Target="../tables/table9.xml"/>
</Relationships>

</file>

<file path=xl/worksheets/_rels/sheet7.xml.rels><?xml version="1.0" encoding="UTF-8" standalone="yes"?>
<Relationships xmlns="http://schemas.openxmlformats.org/package/2006/relationships">
  <Relationship Id="rId1" Type="http://schemas.openxmlformats.org/officeDocument/2006/relationships/pivotTable" Target="../pivotTables/pivotTable1.xml"/>
</Relationships>

</file>

<file path=xl/worksheets/_rels/sheet8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_rels/sheet9.xml.rels><?xml version="1.0" encoding="UTF-8" standalone="yes"?>
<Relationships xmlns="http://schemas.openxmlformats.org/package/2006/relationships">
  <Relationship Id="rId1" Type="http://schemas.openxmlformats.org/officeDocument/2006/relationships/table" Target="../tables/table11.xml"/>
</Relationships>

</file>

<file path=xl/worksheets/_rels/sheet12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2.xml"/>
</Relationships>

</file>

<file path=xl/worksheets/_rels/sheet13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3.xml"/>
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1"/>
      <c r="C1" s="1" t="s">
        <v>0</v>
      </c>
      <c r="G1" s="117" t="s">
        <v>1</v>
      </c>
    </row>
    <row r="2" spans="1:12" ht="27.75" x14ac:dyDescent="0.2">
      <c r="B2" s="22" t="s">
        <v>2</v>
      </c>
      <c r="F2" s="2" t="s">
        <v>3</v>
      </c>
      <c r="G2" s="117">
        <v>5</v>
      </c>
      <c r="H2" s="118" t="s">
        <v>4</v>
      </c>
      <c r="I2" s="119"/>
      <c r="K2" s="3"/>
    </row>
    <row r="3" spans="1:12" ht="17.25" customHeight="1" x14ac:dyDescent="0.2">
      <c r="F3" s="4" t="s">
        <v>5</v>
      </c>
      <c r="G3" s="117">
        <v>8</v>
      </c>
      <c r="H3" s="119"/>
      <c r="I3" s="119"/>
      <c r="J3" s="5"/>
      <c r="K3" s="120">
        <v>5</v>
      </c>
      <c r="L3" s="6"/>
    </row>
    <row r="4" spans="1:12" ht="17.25" customHeight="1" x14ac:dyDescent="0.2">
      <c r="B4" s="7" t="s">
        <v>6</v>
      </c>
      <c r="C4" s="117">
        <v>12.4</v>
      </c>
      <c r="F4" s="8" t="s">
        <v>7</v>
      </c>
      <c r="G4" s="117">
        <v>9</v>
      </c>
      <c r="H4" s="119"/>
      <c r="I4" s="119"/>
      <c r="J4" s="5"/>
      <c r="K4" s="121"/>
      <c r="L4" s="6"/>
    </row>
    <row r="5" spans="1:12" ht="17.25" customHeight="1" x14ac:dyDescent="0.2">
      <c r="C5" s="117">
        <v>42</v>
      </c>
      <c r="G5" s="117">
        <v>15</v>
      </c>
      <c r="H5" s="119"/>
      <c r="I5" s="119"/>
      <c r="J5" s="5"/>
      <c r="K5" s="121"/>
      <c r="L5" s="6"/>
    </row>
    <row r="6" spans="1:12" ht="17.25" customHeight="1" x14ac:dyDescent="0.2">
      <c r="G6" s="117">
        <v>22</v>
      </c>
      <c r="J6" s="5"/>
      <c r="K6" s="121"/>
      <c r="L6" s="6"/>
    </row>
    <row r="7" spans="1:12" ht="17.25" customHeight="1" x14ac:dyDescent="0.2">
      <c r="C7" s="117">
        <v>3</v>
      </c>
      <c r="J7" s="5"/>
      <c r="K7" s="121"/>
      <c r="L7" s="6"/>
    </row>
    <row r="8" spans="1:12" ht="17.25" customHeight="1" x14ac:dyDescent="0.2">
      <c r="G8" s="117">
        <v>30</v>
      </c>
      <c r="J8" s="5"/>
      <c r="K8" s="122"/>
      <c r="L8" s="6"/>
    </row>
    <row r="9" spans="1:12" ht="17.25" customHeight="1" x14ac:dyDescent="0.2">
      <c r="B9" s="9" t="s">
        <v>8</v>
      </c>
      <c r="C9" s="117">
        <f>SUM(C4:C5)</f>
        <v>54.4</v>
      </c>
      <c r="K9" s="10"/>
    </row>
    <row r="10" spans="1:12" ht="17.25" customHeight="1" x14ac:dyDescent="0.2">
      <c r="C10" s="117">
        <f>SUM(C4:C7)</f>
        <v>57.4</v>
      </c>
      <c r="D10" s="117" t="s">
        <v>9</v>
      </c>
    </row>
    <row r="11" spans="1:12" ht="17.25" customHeight="1" x14ac:dyDescent="0.2">
      <c r="C11" s="117">
        <f>-(3+C7*SUM(C4:C7))</f>
        <v>-175.2</v>
      </c>
    </row>
    <row r="12" spans="1:12" ht="17.25" customHeight="1" x14ac:dyDescent="0.2">
      <c r="C12" s="117">
        <f>SUM(C9:C11)</f>
        <v>-63.399999999999991</v>
      </c>
      <c r="D12" s="117" t="s">
        <v>10</v>
      </c>
    </row>
    <row r="13" spans="1:12" ht="17.25" customHeight="1" x14ac:dyDescent="0.2">
      <c r="G13" s="117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17" t="str">
        <f ca="1">C14</f>
        <v>#CYCLE</v>
      </c>
    </row>
    <row r="15" spans="1:12" ht="17.25" customHeight="1" x14ac:dyDescent="0.2">
      <c r="C15" s="117" t="s">
        <v>12</v>
      </c>
    </row>
    <row r="16" spans="1:12" ht="17.25" customHeight="1" x14ac:dyDescent="0.2">
      <c r="C16" s="117" t="str">
        <f>C15</f>
        <v>=(+</v>
      </c>
    </row>
    <row r="17" spans="1:9" ht="17.25" customHeight="1" x14ac:dyDescent="0.2">
      <c r="C17" s="117" t="s">
        <v>13</v>
      </c>
    </row>
    <row r="18" spans="1:9" ht="17.25" customHeight="1" x14ac:dyDescent="0.2">
      <c r="C18" s="117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 x14ac:dyDescent="0.2">
      <c r="C24" s="16">
        <v>10</v>
      </c>
      <c r="H24" s="117">
        <v>1</v>
      </c>
      <c r="I24" s="117">
        <v>1</v>
      </c>
    </row>
    <row r="25" spans="1:9" ht="17.25" customHeight="1" x14ac:dyDescent="0.2">
      <c r="C25" s="16">
        <v>10.122999999999999</v>
      </c>
      <c r="H25" s="117">
        <v>2</v>
      </c>
      <c r="I25" s="117">
        <v>2</v>
      </c>
    </row>
    <row r="26" spans="1:9" ht="17.25" customHeight="1" x14ac:dyDescent="0.2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 x14ac:dyDescent="0.2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 x14ac:dyDescent="0.2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 x14ac:dyDescent="0.2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 x14ac:dyDescent="0.2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 x14ac:dyDescent="0.2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 x14ac:dyDescent="0.2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 x14ac:dyDescent="0.2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 x14ac:dyDescent="0.2">
      <c r="A34" s="117" t="s">
        <v>29</v>
      </c>
      <c r="B34" s="117">
        <v>19</v>
      </c>
      <c r="C34" s="117">
        <v>11</v>
      </c>
    </row>
    <row r="35" spans="1:9" ht="17.25" customHeight="1" x14ac:dyDescent="0.2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 x14ac:dyDescent="0.2"/>
  <cols>
    <col min="1" max="26" width="13.7109375" customWidth="1"/>
  </cols>
  <sheetData>
    <row r="1" spans="1:18" ht="17.25" customHeight="1" x14ac:dyDescent="0.2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 x14ac:dyDescent="0.2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 x14ac:dyDescent="0.2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 x14ac:dyDescent="0.2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 x14ac:dyDescent="0.2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 x14ac:dyDescent="0.2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 x14ac:dyDescent="0.2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 x14ac:dyDescent="0.2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 x14ac:dyDescent="0.2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 x14ac:dyDescent="0.2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 x14ac:dyDescent="0.2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 x14ac:dyDescent="0.2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 x14ac:dyDescent="0.2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 x14ac:dyDescent="0.2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 x14ac:dyDescent="0.2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 x14ac:dyDescent="0.2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 x14ac:dyDescent="0.2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 x14ac:dyDescent="0.2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 x14ac:dyDescent="0.2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 x14ac:dyDescent="0.2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 x14ac:dyDescent="0.2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 x14ac:dyDescent="0.2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 x14ac:dyDescent="0.2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 x14ac:dyDescent="0.2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 x14ac:dyDescent="0.2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 x14ac:dyDescent="0.2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 x14ac:dyDescent="0.2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 x14ac:dyDescent="0.2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 x14ac:dyDescent="0.2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 x14ac:dyDescent="0.2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 x14ac:dyDescent="0.2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 x14ac:dyDescent="0.2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 x14ac:dyDescent="0.2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 x14ac:dyDescent="0.2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 x14ac:dyDescent="0.2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 x14ac:dyDescent="0.2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 x14ac:dyDescent="0.2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 x14ac:dyDescent="0.2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 x14ac:dyDescent="0.2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 x14ac:dyDescent="0.2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 x14ac:dyDescent="0.2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 x14ac:dyDescent="0.2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 x14ac:dyDescent="0.2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 x14ac:dyDescent="0.2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 x14ac:dyDescent="0.2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 x14ac:dyDescent="0.2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 x14ac:dyDescent="0.2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 x14ac:dyDescent="0.2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 x14ac:dyDescent="0.2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 x14ac:dyDescent="0.2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 x14ac:dyDescent="0.2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 x14ac:dyDescent="0.2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 x14ac:dyDescent="0.2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 x14ac:dyDescent="0.2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 x14ac:dyDescent="0.2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 x14ac:dyDescent="0.2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 x14ac:dyDescent="0.2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 x14ac:dyDescent="0.2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 x14ac:dyDescent="0.2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 x14ac:dyDescent="0.2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 x14ac:dyDescent="0.2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 x14ac:dyDescent="0.2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 x14ac:dyDescent="0.2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 x14ac:dyDescent="0.2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 x14ac:dyDescent="0.2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 x14ac:dyDescent="0.2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 x14ac:dyDescent="0.2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 x14ac:dyDescent="0.2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 x14ac:dyDescent="0.2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 x14ac:dyDescent="0.2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 x14ac:dyDescent="0.2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 x14ac:dyDescent="0.2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 x14ac:dyDescent="0.2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 x14ac:dyDescent="0.2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 x14ac:dyDescent="0.2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 x14ac:dyDescent="0.2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 x14ac:dyDescent="0.2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 x14ac:dyDescent="0.2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 x14ac:dyDescent="0.2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 x14ac:dyDescent="0.2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 x14ac:dyDescent="0.2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 x14ac:dyDescent="0.2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 x14ac:dyDescent="0.2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 x14ac:dyDescent="0.2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 x14ac:dyDescent="0.2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 x14ac:dyDescent="0.2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 x14ac:dyDescent="0.2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 x14ac:dyDescent="0.2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 x14ac:dyDescent="0.2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 x14ac:dyDescent="0.2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 x14ac:dyDescent="0.2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 x14ac:dyDescent="0.2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 x14ac:dyDescent="0.2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 x14ac:dyDescent="0.2">
      <c r="A100" s="117" t="s">
        <v>160</v>
      </c>
      <c r="B100" s="19">
        <f ca="1">NOW()</f>
        <v>46288.356350231479</v>
      </c>
      <c r="D100" s="117">
        <f ca="1">IF(ISNUMBER(B100),1,0)</f>
        <v>1</v>
      </c>
    </row>
    <row r="101" spans="1:4" ht="17.25" customHeight="1" x14ac:dyDescent="0.2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 x14ac:dyDescent="0.2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 x14ac:dyDescent="0.2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 x14ac:dyDescent="0.2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 x14ac:dyDescent="0.2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 x14ac:dyDescent="0.2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 x14ac:dyDescent="0.2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 x14ac:dyDescent="0.2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 x14ac:dyDescent="0.2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 x14ac:dyDescent="0.2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 x14ac:dyDescent="0.2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 x14ac:dyDescent="0.2">
      <c r="A112" s="117"/>
      <c r="B112" s="117"/>
      <c r="D112" s="117"/>
    </row>
    <row r="113" spans="1:4" ht="17.25" customHeight="1" x14ac:dyDescent="0.2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 x14ac:dyDescent="0.2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 x14ac:dyDescent="0.2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 x14ac:dyDescent="0.2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 x14ac:dyDescent="0.2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 x14ac:dyDescent="0.2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 x14ac:dyDescent="0.2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 x14ac:dyDescent="0.2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 x14ac:dyDescent="0.2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 x14ac:dyDescent="0.2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 x14ac:dyDescent="0.2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 x14ac:dyDescent="0.2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 x14ac:dyDescent="0.2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 x14ac:dyDescent="0.2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 x14ac:dyDescent="0.2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 x14ac:dyDescent="0.2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 x14ac:dyDescent="0.2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 x14ac:dyDescent="0.2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 x14ac:dyDescent="0.2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 x14ac:dyDescent="0.2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 x14ac:dyDescent="0.2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 x14ac:dyDescent="0.2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 x14ac:dyDescent="0.2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 x14ac:dyDescent="0.2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 x14ac:dyDescent="0.2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 x14ac:dyDescent="0.2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 x14ac:dyDescent="0.2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 x14ac:dyDescent="0.2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 x14ac:dyDescent="0.2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 x14ac:dyDescent="0.2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 x14ac:dyDescent="0.2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 x14ac:dyDescent="0.2">
      <c r="A144" s="117" t="s">
        <v>207</v>
      </c>
      <c r="B144" s="18">
        <f ca="1">TODAY()</f>
        <v>46288</v>
      </c>
      <c r="D144" s="117">
        <f ca="1">IF(ISNUMBER(B144),1,0)</f>
        <v>1</v>
      </c>
    </row>
    <row r="145" spans="1:4" ht="17.25" customHeight="1" x14ac:dyDescent="0.2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 x14ac:dyDescent="0.2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 x14ac:dyDescent="0.2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 x14ac:dyDescent="0.2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 x14ac:dyDescent="0.2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 x14ac:dyDescent="0.2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 x14ac:dyDescent="0.2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 x14ac:dyDescent="0.2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 x14ac:dyDescent="0.2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 x14ac:dyDescent="0.2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 x14ac:dyDescent="0.2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 x14ac:dyDescent="0.2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 x14ac:dyDescent="0.2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 x14ac:dyDescent="0.2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 x14ac:dyDescent="0.2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 x14ac:dyDescent="0.2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 x14ac:dyDescent="0.2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 x14ac:dyDescent="0.2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 x14ac:dyDescent="0.2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0" workbookViewId="0">
      <selection activeCell="A30" sqref="A30"/>
    </sheetView>
  </sheetViews>
  <sheetFormatPr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23" t="s">
        <v>232</v>
      </c>
      <c r="E1" s="123"/>
      <c r="F1" t="s">
        <v>233</v>
      </c>
      <c r="H1" s="34" t="s">
        <v>234</v>
      </c>
    </row>
    <row r="2" spans="1:8" x14ac:dyDescent="0.2">
      <c r="A2">
        <f>SUM(A1)</f>
        <v>0</v>
      </c>
      <c r="D2" s="123"/>
      <c r="E2" s="123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 2)</f>
        <v>0.81032257102058525</v>
      </c>
      <c r="B30">
        <f ca="1"/>
        <v>0.28311289973983134</v>
      </c>
    </row>
    <row r="31" spans="1:2" x14ac:dyDescent="0.2">
      <c r="A31">
        <f ca="1"/>
        <v>0.40396537523061316</v>
      </c>
      <c r="B31">
        <f ca="1"/>
        <v>0.11664411871859959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L22" sqref="L22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46288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378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379</v>
      </c>
      <c r="H32">
        <v>5</v>
      </c>
      <c r="I32">
        <v>3</v>
      </c>
      <c r="J32">
        <v>1</v>
      </c>
    </row>
    <row r="33" spans="7:10" x14ac:dyDescent="0.2">
      <c r="G33" s="34" t="s">
        <v>380</v>
      </c>
      <c r="H33">
        <v>5</v>
      </c>
      <c r="I33">
        <v>3</v>
      </c>
      <c r="J33">
        <v>1</v>
      </c>
    </row>
    <row r="34" spans="7:10" x14ac:dyDescent="0.2">
      <c r="G34" s="34" t="s">
        <v>381</v>
      </c>
      <c r="H34">
        <v>5</v>
      </c>
      <c r="I34">
        <v>3</v>
      </c>
      <c r="J34">
        <v>1</v>
      </c>
    </row>
    <row r="35" spans="7:10" x14ac:dyDescent="0.2">
      <c r="G35" s="34" t="s">
        <v>382</v>
      </c>
      <c r="H35">
        <v>5</v>
      </c>
      <c r="I35">
        <v>3</v>
      </c>
      <c r="J35">
        <v>1</v>
      </c>
    </row>
    <row r="36" spans="7:10" x14ac:dyDescent="0.2">
      <c r="G36" s="34" t="s">
        <v>383</v>
      </c>
      <c r="H36">
        <v>5</v>
      </c>
      <c r="I36">
        <v>3</v>
      </c>
      <c r="J36">
        <v>1</v>
      </c>
    </row>
    <row r="37" spans="7:10" x14ac:dyDescent="0.2">
      <c r="G37" s="34" t="s">
        <v>384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rank="1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385</v>
      </c>
    </row>
    <row r="3" spans="1:10" ht="15" x14ac:dyDescent="0.2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 x14ac:dyDescent="0.2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 x14ac:dyDescent="0.2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 x14ac:dyDescent="0.2">
      <c r="C6" s="117" t="s">
        <v>392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 x14ac:dyDescent="0.2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399</v>
      </c>
      <c r="C11" t="s">
        <v>400</v>
      </c>
      <c r="D11" t="s">
        <v>401</v>
      </c>
    </row>
    <row r="12" spans="1:10" x14ac:dyDescent="0.2">
      <c r="C12">
        <v>3</v>
      </c>
      <c r="D12">
        <v>4</v>
      </c>
    </row>
    <row r="14" spans="1:10" x14ac:dyDescent="0.2">
      <c r="B14" t="s">
        <v>402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404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405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406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392</v>
      </c>
      <c r="D28">
        <f>SUBTOTAL(109,Table4910[Column2])</f>
        <v>6</v>
      </c>
    </row>
    <row r="30" spans="2:4" x14ac:dyDescent="0.2">
      <c r="B30" t="s">
        <v>407</v>
      </c>
      <c r="C30" t="s">
        <v>408</v>
      </c>
      <c r="D30" t="s">
        <v>409</v>
      </c>
    </row>
    <row r="31" spans="2:4" hidden="1" x14ac:dyDescent="0.2">
      <c r="C31" t="s">
        <v>410</v>
      </c>
      <c r="D31" t="s">
        <v>410</v>
      </c>
    </row>
    <row r="32" spans="2:4" x14ac:dyDescent="0.2">
      <c r="C32" t="s">
        <v>411</v>
      </c>
      <c r="D32" t="s">
        <v>411</v>
      </c>
    </row>
    <row r="34" spans="2:2" x14ac:dyDescent="0.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2" t="s">
        <v>413</v>
      </c>
      <c r="B1" s="17"/>
      <c r="C1" s="17"/>
      <c r="D1" s="17"/>
      <c r="E1" s="17"/>
      <c r="F1" s="17"/>
    </row>
    <row r="2" spans="1:12" x14ac:dyDescent="0.2">
      <c r="A2" s="117"/>
      <c r="B2" s="117"/>
      <c r="C2" s="117"/>
      <c r="D2" s="117"/>
      <c r="E2" s="117"/>
      <c r="F2" s="117"/>
    </row>
    <row r="3" spans="1:12" x14ac:dyDescent="0.2">
      <c r="A3" s="117"/>
      <c r="B3" s="117"/>
      <c r="C3" s="89" t="s">
        <v>414</v>
      </c>
      <c r="D3" s="89" t="s">
        <v>415</v>
      </c>
    </row>
    <row r="4" spans="1:12" x14ac:dyDescent="0.2">
      <c r="A4" s="117"/>
      <c r="B4" s="117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 x14ac:dyDescent="0.2">
      <c r="A5" s="117"/>
      <c r="B5" s="117"/>
      <c r="C5" s="90" t="s">
        <v>55</v>
      </c>
      <c r="K5">
        <v>30</v>
      </c>
      <c r="L5">
        <v>30</v>
      </c>
    </row>
    <row r="6" spans="1:12" x14ac:dyDescent="0.2">
      <c r="A6" s="117"/>
      <c r="B6" s="117"/>
      <c r="C6" s="91">
        <v>256018</v>
      </c>
      <c r="K6">
        <v>30</v>
      </c>
      <c r="L6">
        <v>30</v>
      </c>
    </row>
    <row r="7" spans="1:12" x14ac:dyDescent="0.2">
      <c r="A7" s="117"/>
      <c r="B7" s="117"/>
      <c r="C7" s="90" t="s">
        <v>46</v>
      </c>
      <c r="E7">
        <v>26</v>
      </c>
      <c r="L7">
        <v>26</v>
      </c>
    </row>
    <row r="8" spans="1:12" x14ac:dyDescent="0.2">
      <c r="A8" s="117"/>
      <c r="B8" s="117"/>
      <c r="C8" s="91">
        <v>110120.5</v>
      </c>
      <c r="E8">
        <v>26</v>
      </c>
      <c r="L8">
        <v>26</v>
      </c>
    </row>
    <row r="9" spans="1:12" x14ac:dyDescent="0.2">
      <c r="A9" s="117"/>
      <c r="B9" s="117"/>
      <c r="C9" s="90" t="s">
        <v>42</v>
      </c>
      <c r="G9">
        <v>26</v>
      </c>
      <c r="L9">
        <v>26</v>
      </c>
    </row>
    <row r="10" spans="1:12" x14ac:dyDescent="0.2">
      <c r="A10" s="117"/>
      <c r="B10" s="117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A16" zoomScaleNormal="100" workbookViewId="0">
      <selection activeCell="L31" sqref="L3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418</v>
      </c>
    </row>
    <row r="2" spans="1:2" x14ac:dyDescent="0.2">
      <c r="A2" t="s">
        <v>419</v>
      </c>
      <c r="B2" s="117"/>
    </row>
    <row r="3" spans="1:2" x14ac:dyDescent="0.2">
      <c r="A3" t="s">
        <v>420</v>
      </c>
    </row>
    <row r="4" spans="1:2" x14ac:dyDescent="0.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 x14ac:dyDescent="0.2"/>
  <sheetData>
    <row r="1" spans="1:2" ht="51" x14ac:dyDescent="0.2">
      <c r="A1" s="99" t="s">
        <v>422</v>
      </c>
      <c r="B1" t="s">
        <v>423</v>
      </c>
    </row>
    <row r="7" spans="1:2" x14ac:dyDescent="0.2">
      <c r="A7" t="s">
        <v>408</v>
      </c>
      <c r="B7" t="s">
        <v>409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F32" sqref="F32"/>
    </sheetView>
  </sheetViews>
  <sheetFormatPr defaultRowHeight="12.75" x14ac:dyDescent="0.2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10" x14ac:dyDescent="0.2">
      <c r="A1" s="114" t="s">
        <v>424</v>
      </c>
      <c r="B1" s="115" t="s">
        <v>425</v>
      </c>
      <c r="C1" s="115" t="s">
        <v>426</v>
      </c>
      <c r="D1" s="115" t="s">
        <v>427</v>
      </c>
      <c r="E1" s="115" t="s">
        <v>428</v>
      </c>
      <c r="F1" s="115" t="s">
        <v>429</v>
      </c>
      <c r="G1" s="115" t="s">
        <v>430</v>
      </c>
      <c r="H1" s="115" t="s">
        <v>431</v>
      </c>
      <c r="I1" s="116" t="s">
        <v>432</v>
      </c>
    </row>
    <row r="2" spans="1:10" x14ac:dyDescent="0.2">
      <c r="A2" s="104">
        <v>4</v>
      </c>
      <c r="B2" s="105">
        <v>99.5</v>
      </c>
      <c r="C2" s="105">
        <v>1</v>
      </c>
      <c r="D2" s="105" t="s">
        <v>433</v>
      </c>
      <c r="E2" s="106">
        <v>45575</v>
      </c>
      <c r="F2" s="107">
        <v>0.64583333333333337</v>
      </c>
      <c r="G2" s="107" t="s">
        <v>434</v>
      </c>
      <c r="H2" s="106">
        <v>45292</v>
      </c>
      <c r="I2" s="108">
        <v>4</v>
      </c>
      <c r="J2">
        <v>6</v>
      </c>
    </row>
    <row r="3" spans="1:10" x14ac:dyDescent="0.2">
      <c r="A3" s="104">
        <v>3</v>
      </c>
      <c r="B3" s="105">
        <v>40</v>
      </c>
      <c r="C3" s="105">
        <v>2</v>
      </c>
      <c r="D3" s="105" t="s">
        <v>435</v>
      </c>
      <c r="E3" s="106">
        <v>45576</v>
      </c>
      <c r="F3" s="107">
        <v>0.57638888888888884</v>
      </c>
      <c r="G3" s="107" t="s">
        <v>436</v>
      </c>
      <c r="H3" s="106">
        <v>45231</v>
      </c>
      <c r="I3" s="108" t="s">
        <v>434</v>
      </c>
      <c r="J3">
        <v>8</v>
      </c>
    </row>
    <row r="4" spans="1:10" x14ac:dyDescent="0.2">
      <c r="A4" s="104">
        <v>9</v>
      </c>
      <c r="B4" s="105">
        <v>0</v>
      </c>
      <c r="C4" s="105">
        <v>3</v>
      </c>
      <c r="D4" s="105" t="s">
        <v>437</v>
      </c>
      <c r="E4" s="106">
        <v>45574</v>
      </c>
      <c r="F4" s="107">
        <v>0.73958333333333337</v>
      </c>
      <c r="G4" s="107" t="s">
        <v>438</v>
      </c>
      <c r="H4" s="106">
        <v>45325</v>
      </c>
      <c r="I4" s="108">
        <v>3</v>
      </c>
      <c r="J4">
        <v>9</v>
      </c>
    </row>
    <row r="5" spans="1:10" x14ac:dyDescent="0.2">
      <c r="A5" s="104">
        <v>5</v>
      </c>
      <c r="B5" s="105">
        <v>120</v>
      </c>
      <c r="C5" s="105">
        <v>4</v>
      </c>
      <c r="D5" s="105" t="s">
        <v>435</v>
      </c>
      <c r="E5" s="106">
        <v>45573</v>
      </c>
      <c r="F5" s="107">
        <v>0.66666666666666663</v>
      </c>
      <c r="G5" s="105" t="s">
        <v>439</v>
      </c>
      <c r="H5" s="106">
        <v>45084</v>
      </c>
      <c r="I5" s="108">
        <v>3</v>
      </c>
      <c r="J5">
        <v>10</v>
      </c>
    </row>
    <row r="6" spans="1:10" x14ac:dyDescent="0.2">
      <c r="A6" s="109">
        <v>7</v>
      </c>
      <c r="B6" s="110">
        <v>12</v>
      </c>
      <c r="C6" s="110">
        <v>5</v>
      </c>
      <c r="D6" s="110" t="s">
        <v>437</v>
      </c>
      <c r="E6" s="111">
        <v>45566</v>
      </c>
      <c r="F6" s="112">
        <v>0.5229166666666667</v>
      </c>
      <c r="G6" s="110" t="s">
        <v>440</v>
      </c>
      <c r="H6" s="111">
        <v>45420</v>
      </c>
      <c r="I6" s="113" t="s">
        <v>439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EAFFF3C7-1A46-48EE-850D-DE4852C6359D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2026-09-23T06:33:08Z</dcterms:modified>
  <cp:category/>
  <cp:contentStatus/>
</cp:coreProperties>
</file>