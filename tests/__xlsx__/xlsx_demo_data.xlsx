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A2A2F833-F20C-4974-839C-93827D860F35}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537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<sst xmlns="http://schemas.openxmlformats.org/spreadsheetml/2006/main" count="473" uniqueCount="422">
  <si>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</si>
  <si>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</si>
  <si>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</si>
  <si>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</si>
  <si>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</si>
  <si>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</si>
  <si>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</si>
  <si>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</si>
  <si>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</si>
  <si>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</si>
  <si>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</si>
  <si>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</si>
  <si>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</si>
  <si>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</si>
  <si>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</si>
  <si>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</si>
  <si>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</si>
  <si>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</si>
  <si>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</si>
  <si>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</si>
  <si>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</si>
  <si>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</si>
  <si>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</si>
  <si>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</si>
  <si>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</si>
  <si>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</si>
  <si>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</si>
  <si>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</si>
  <si>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</si>
  <si>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</si>
  <si>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</si>
  <si>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</si>
  <si>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</si>
  <si>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</si>
  <si>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</si>
  <si>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</si>
  <si>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</si>
  <si>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</si>
  <si>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</si>
  <si>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</si>
  <si>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</si>
  <si>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</si>
  <si>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</si>
  <si>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</si>
  <si>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</si>
  <si>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</si>
  <si>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</si>
  <si>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</si>
  <si>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</si>
  <si>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</si>
  <si>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</si>
  <si>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</si>
  <si>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</si>
  <si>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</si>
  <si>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</si>
  <si>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</si>
  <si>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</si>
  <si>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</si>
  <si>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</si>
  <si>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</si>
  <si>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</si>
  <si>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</si>
  <si>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</si>
  <si>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</si>
  <si>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</si>
  <si>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</si>
  <si>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</si>
  <si>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</si>
  <si>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</si>
  <si>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</si>
  <si>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</si>
  <si>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</si>
  <si>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</si>
  <si>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</si>
  <si>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</si>
  <si>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</si>
  <si>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</si>
  <si>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</si>
  <si>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</si>
  <si>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</si>
  <si>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</si>
  <si>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</si>
  <si>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</si>
  <si>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</si>
  <si>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</si>
  <si>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</si>
  <si>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</si>
  <si>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</si>
  <si>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</si>
  <si>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</si>
  <si>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</si>
  <si>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</si>
  <si>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</si>
  <si>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</si>
  <si>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</si>
  <si>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</si>
  <si>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</si>
  <si>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</si>
  <si>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</si>
  <si>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</si>
  <si>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</si>
  <si>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</si>
  <si>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</si>
  <si>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</si>
  <si>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</si>
  <si>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</si>
  <si>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</si>
  <si>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</si>
  <si>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</si>
  <si>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</si>
  <si>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</si>
  <si>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</si>
  <si>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</si>
  <si>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</si>
  <si>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</si>
  <si>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</si>
  <si>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</si>
  <si>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</si>
  <si>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</si>
  <si>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</si>
  <si>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</si>
  <si>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</si>
  <si>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</si>
  <si>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</si>
  <si>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</si>
  <si>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</si>
  <si>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</si>
  <si>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</si>
  <si>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</si>
  <si>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</si>
  <si>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</si>
  <si>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</si>
  <si>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</si>
  <si>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</si>
  <si>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</si>
  <si>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</si>
  <si>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</si>
  <si>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</si>
  <si>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</si>
  <si>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</si>
  <si>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</si>
  <si>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</si>
  <si>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</si>
  <si>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</si>
  <si>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</si>
  <si>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</si>
  <si>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</si>
  <si>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</si>
  <si>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</si>
  <si>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</si>
  <si>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</si>
  <si>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</si>
  <si>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</si>
  <si>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</si>
  <si>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</si>
  <si>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</si>
  <si>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</si>
  <si>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</si>
  <si>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</si>
  <si>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</si>
  <si>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</si>
  <si>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</si>
  <si>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</si>
  <si>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</si>
  <si>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</si>
  <si>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</si>
  <si>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</si>
  <si>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</si>
  <si>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</si>
  <si>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</si>
  <si>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</si>
  <si>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</si>
  <si>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</si>
  <si>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</si>
  <si>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</si>
  <si>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</si>
  <si>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</si>
  <si>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</si>
  <si>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</si>
  <si>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</si>
  <si>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</si>
  <si>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</si>
  <si>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</si>
  <si>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</si>
  <si>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</si>
  <si>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</si>
  <si>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</si>
  <si>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</si>
  <si>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</si>
  <si>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</si>
  <si>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</si>
  <si>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</si>
  <si>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</si>
  <si>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</si>
  <si>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</si>
  <si>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</si>
  <si>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</si>
  <si>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</si>
  <si>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</si>
  <si>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</si>
  <si>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</si>
  <si>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</si>
  <si>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</si>
  <si>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</si>
  <si>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</si>
  <si>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</si>
  <si>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</si>
  <si>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</si>
  <si>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</si>
  <si>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</si>
  <si>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</si>
  <si>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</si>
  <si>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</si>
  <si>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</si>
  <si>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</si>
  <si>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</si>
  <si>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</si>
  <si>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</si>
  <si>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</si>
  <si>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</si>
  <si>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</si>
  <si>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</si>
  <si>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</si>
  <si>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</si>
  <si>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</si>
  <si>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</si>
  <si>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</si>
  <si>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</si>
  <si>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</si>
  <si>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</si>
  <si>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</si>
  <si>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</si>
  <si>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</si>
  <si>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</si>
  <si>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</si>
  <si>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</si>
  <si>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</si>
  <si>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</si>
  <si>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</si>
  <si>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</si>
  <si>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</si>
  <si>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</si>
  <si>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</si>
  <si>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</si>
  <si>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</si>
  <si>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</si>
  <si>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</si>
  <si>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</si>
  <si>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</si>
  <si>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</si>
  <si>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</si>
  <si>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</si>
  <si>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</si>
  <si>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</si>
  <si>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</si>
  <si>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</si>
  <si>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</si>
  <si>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</si>
  <si>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</si>
  <si>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</si>
  <si>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</si>
  <si>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</si>
  <si>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</si>
  <si>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</si>
  <si>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</si>
  <si>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</si>
  <si>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</si>
  <si>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</si>
  <si>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</si>
  <si>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</si>
  <si>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</si>
  <si>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</si>
  <si>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</si>
  <si>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</si>
  <si>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</si>
  <si>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</si>
  <si>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</si>
  <si>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</si>
  <si>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</si>
  <si>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</si>
  <si>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</si>
  <si>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</si>
  <si>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</si>
  <si>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</si>
  <si>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</si>
  <si>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</si>
  <si>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</si>
  <si>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</si>
  <si>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</si>
  <si>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</si>
  <si>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</si>
  <si>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</si>
  <si>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</si>
  <si>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</si>
  <si>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</si>
  <si>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</si>
  <si>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</si>
  <si>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</si>
  <si>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</si>
  <si>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</si>
  <si>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</si>
  <si>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</si>
  <si>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</si>
  <si>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</si>
  <si>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</si>
  <si>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</si>
  <si>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</si>
  <si>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</si>
  <si>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</si>
  <si>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</si>
  <si>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</si>
  <si>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</si>
  <si>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</si>
  <si>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</si>
  <si>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</si>
  <si>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</si>
  <si>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</si>
  <si>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</si>
  <si>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</si>
  <si>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</si>
  <si>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</si>
  <si>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</si>
  <si>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</si>
  <si>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</si>
  <si>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</si>
  <si>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</si>
  <si>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</si>
  <si>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</si>
  <si>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</si>
  <si>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</si>
  <si>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</si>
  <si>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</si>
  <si>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</si>
  <si>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</si>
  <si>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</si>
  <si>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</si>
  <si>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</si>
  <si>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</si>
  <si>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</si>
  <si>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</si>
  <si>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</si>
  <si>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</si>
  <si>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</si>
  <si>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</si>
  <si>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</si>
  <si>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</si>
  <si>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</si>
  <si>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</si>
  <si>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</si>
  <si>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</si>
  <si>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</si>
  <si>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</si>
  <si>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</si>
  <si>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</si>
  <si>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</si>
  <si>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</si>
  <si>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</si>
  <si>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</si>
  <si>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</si>
  <si>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</si>
  <si>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</si>
  <si>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</si>
  <si>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</si>
  <si>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</si>
  <si>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</si>
  <si>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</si>
  <si>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</si>
  <si>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</si>
  <si>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</si>
  <si>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</si>
  <si>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</si>
  <si>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</si>
  <si>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</si>
  <si>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</si>
  <si>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</si>
  <si>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</si>
  <si>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</si>
  <si>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</si>
  <si>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</si>
  <si>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</si>
  <si>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</si>
  <si>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</si>
  <si>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</si>
  <si>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</si>
  <si>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</si>
  <si>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</si>
  <si>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</si>
  <si>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</si>
  <si>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</si>
  <si>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</si>
  <si>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</si>
  <si>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</si>
  <si>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</si>
  <si>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</si>
  <si>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</si>
  <si>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</si>
  <si>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</si>
  <si>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</si>
  <si>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</si>
  <si>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</si>
  <si>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</si>
  <si>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</si>
  <si>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</si>
  <si>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</si>
  <si>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</si>
  <si>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</si>
  <si>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</si>
  <si>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</si>
  <si>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</si>
  <si>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</si>
  <si>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</si>
  <si>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</si>
  <si>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</si>
  <si>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</si>
  <si>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</si>
  <si>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</si>
  <si>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</si>
  <si>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>test</t>
  </si>
  <si>
    <t>test1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</si>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</sst>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5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7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28" borderId="28" xfId="0" applyFill="1" applyBorder="1"/>
    <xf numFmtId="0" fontId="0" fillId="28" borderId="29" xfId="0" applyFill="1" applyBorder="1"/>
    <xf numFmtId="14" fontId="0" fillId="28" borderId="29" xfId="0" applyNumberFormat="1" applyFill="1" applyBorder="1"/>
    <xf numFmtId="20" fontId="0" fillId="28" borderId="29" xfId="0" applyNumberFormat="1" applyFill="1" applyBorder="1"/>
    <xf numFmtId="0" fontId="0" fillId="28" borderId="30" xfId="0" applyFill="1" applyBorder="1"/>
    <xf numFmtId="0" fontId="0" fillId="28" borderId="31" xfId="0" applyFill="1" applyBorder="1"/>
    <xf numFmtId="0" fontId="0" fillId="28" borderId="0" xfId="0" applyFill="1"/>
    <xf numFmtId="14" fontId="0" fillId="28" borderId="0" xfId="0" applyNumberFormat="1" applyFill="1"/>
    <xf numFmtId="20" fontId="0" fillId="28" borderId="0" xfId="0" applyNumberFormat="1" applyFill="1"/>
    <xf numFmtId="0" fontId="0" fillId="28" borderId="32" xfId="0" applyFill="1" applyBorder="1"/>
    <xf numFmtId="0" fontId="0" fillId="28" borderId="33" xfId="0" applyFill="1" applyBorder="1"/>
    <xf numFmtId="0" fontId="0" fillId="28" borderId="34" xfId="0" applyFill="1" applyBorder="1"/>
    <xf numFmtId="14" fontId="0" fillId="28" borderId="34" xfId="0" applyNumberFormat="1" applyFill="1" applyBorder="1"/>
    <xf numFmtId="20" fontId="0" fillId="28" borderId="34" xfId="0" applyNumberFormat="1" applyFill="1" applyBorder="1"/>
    <xf numFmtId="0" fontId="0" fillId="28" borderId="35" xfId="0" applyFill="1" applyBorder="1"/>
    <xf numFmtId="0" fontId="0" fillId="0" borderId="0" xfId="0" applyAlignment="1"/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rien\odoo\spreadsheet\tests\__xlsx__\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537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3.9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B1" s="105"/>
      <c r="C1" s="1" t="s">
        <v>0</v>
      </c>
      <c r="D1" s="105"/>
      <c r="E1" s="105"/>
      <c r="F1" s="105"/>
      <c r="G1" s="104" t="s">
        <v>1</v>
      </c>
      <c r="H1" s="105"/>
      <c r="I1" s="105"/>
      <c r="J1" s="105"/>
      <c r="K1" s="105"/>
      <c r="L1" s="105"/>
    </row>
    <row r="2" spans="1:12" ht="28.15">
      <c r="A2" s="105"/>
      <c r="B2" s="22" t="s">
        <v>2</v>
      </c>
      <c r="C2" s="105"/>
      <c r="D2" s="105"/>
      <c r="E2" s="105"/>
      <c r="F2" s="2" t="s">
        <v>3</v>
      </c>
      <c r="G2" s="104">
        <v>5</v>
      </c>
      <c r="H2" s="106" t="s">
        <v>4</v>
      </c>
      <c r="I2" s="126"/>
      <c r="J2" s="105"/>
      <c r="K2" s="3"/>
      <c r="L2" s="105"/>
    </row>
    <row r="3" spans="1:12" ht="17.25" customHeight="1">
      <c r="A3" s="105"/>
      <c r="B3" s="105"/>
      <c r="C3" s="105"/>
      <c r="D3" s="105"/>
      <c r="E3" s="105"/>
      <c r="F3" s="4" t="s">
        <v>5</v>
      </c>
      <c r="G3" s="104">
        <v>8</v>
      </c>
      <c r="H3" s="126"/>
      <c r="I3" s="126"/>
      <c r="J3" s="5"/>
      <c r="K3" s="107">
        <v>5</v>
      </c>
      <c r="L3" s="6"/>
    </row>
    <row r="4" spans="1:12" ht="17.25" customHeight="1">
      <c r="A4" s="105"/>
      <c r="B4" s="7" t="s">
        <v>6</v>
      </c>
      <c r="C4" s="104">
        <v>12.4</v>
      </c>
      <c r="D4" s="105"/>
      <c r="E4" s="105"/>
      <c r="F4" s="8" t="s">
        <v>7</v>
      </c>
      <c r="G4" s="104">
        <v>9</v>
      </c>
      <c r="H4" s="126"/>
      <c r="I4" s="126"/>
      <c r="J4" s="5"/>
      <c r="K4" s="108"/>
      <c r="L4" s="6"/>
    </row>
    <row r="5" spans="1:12" ht="17.25" customHeight="1">
      <c r="A5" s="105"/>
      <c r="B5" s="105"/>
      <c r="C5" s="104">
        <v>42</v>
      </c>
      <c r="D5" s="105"/>
      <c r="E5" s="105"/>
      <c r="F5" s="105"/>
      <c r="G5" s="104">
        <v>15</v>
      </c>
      <c r="H5" s="126"/>
      <c r="I5" s="126"/>
      <c r="J5" s="5"/>
      <c r="K5" s="108"/>
      <c r="L5" s="6"/>
    </row>
    <row r="6" spans="1:12" ht="17.25" customHeight="1">
      <c r="A6" s="105"/>
      <c r="B6" s="105"/>
      <c r="C6" s="105"/>
      <c r="D6" s="105"/>
      <c r="E6" s="105"/>
      <c r="F6" s="105"/>
      <c r="G6" s="104">
        <v>22</v>
      </c>
      <c r="H6" s="105"/>
      <c r="I6" s="105"/>
      <c r="J6" s="5"/>
      <c r="K6" s="108"/>
      <c r="L6" s="6"/>
    </row>
    <row r="7" spans="1:12" ht="17.25" customHeight="1">
      <c r="A7" s="105"/>
      <c r="B7" s="105"/>
      <c r="C7" s="104">
        <v>3</v>
      </c>
      <c r="D7" s="105"/>
      <c r="E7" s="105"/>
      <c r="F7" s="105"/>
      <c r="G7" s="105"/>
      <c r="H7" s="105"/>
      <c r="I7" s="105"/>
      <c r="J7" s="5"/>
      <c r="K7" s="108"/>
      <c r="L7" s="6"/>
    </row>
    <row r="8" spans="1:12" ht="17.25" customHeight="1">
      <c r="A8" s="105"/>
      <c r="B8" s="105"/>
      <c r="C8" s="105"/>
      <c r="D8" s="105"/>
      <c r="E8" s="105"/>
      <c r="F8" s="105"/>
      <c r="G8" s="104">
        <v>30</v>
      </c>
      <c r="H8" s="105"/>
      <c r="I8" s="105"/>
      <c r="J8" s="5"/>
      <c r="K8" s="109"/>
      <c r="L8" s="6"/>
    </row>
    <row r="9" spans="1:12" ht="17.25" customHeight="1">
      <c r="A9" s="105"/>
      <c r="B9" s="9" t="s">
        <v>8</v>
      </c>
      <c r="C9" s="104">
        <f>SUM(C4:C5)</f>
        <v>54.4</v>
      </c>
      <c r="D9" s="105"/>
      <c r="E9" s="105"/>
      <c r="F9" s="105"/>
      <c r="G9" s="105"/>
      <c r="H9" s="105"/>
      <c r="I9" s="105"/>
      <c r="J9" s="105"/>
      <c r="K9" s="10"/>
      <c r="L9" s="105"/>
    </row>
    <row r="10" spans="1:12" ht="17.25" customHeight="1">
      <c r="A10" s="105"/>
      <c r="B10" s="105"/>
      <c r="C10" s="104">
        <f>SUM(C4:C7)</f>
        <v>57.4</v>
      </c>
      <c r="D10" s="104" t="s">
        <v>9</v>
      </c>
      <c r="E10" s="105"/>
      <c r="F10" s="105"/>
      <c r="G10" s="105"/>
      <c r="H10" s="105"/>
      <c r="I10" s="105"/>
      <c r="J10" s="105"/>
      <c r="K10" s="105"/>
      <c r="L10" s="105"/>
    </row>
    <row r="11" spans="1:12" ht="17.25" customHeight="1">
      <c r="A11" s="105"/>
      <c r="B11" s="105"/>
      <c r="C11" s="104">
        <f>-(3+C7*SUM(C4:C7))</f>
        <v>-175.2</v>
      </c>
      <c r="D11" s="105"/>
      <c r="E11" s="105"/>
      <c r="F11" s="105"/>
      <c r="G11" s="105"/>
      <c r="H11" s="105"/>
      <c r="I11" s="105"/>
      <c r="J11" s="105"/>
      <c r="K11" s="105"/>
      <c r="L11" s="105"/>
    </row>
    <row r="12" spans="1:12" ht="17.25" customHeight="1">
      <c r="A12" s="105"/>
      <c r="B12" s="105"/>
      <c r="C12" s="104">
        <f>SUM(C9:C11)</f>
        <v>-63.399999999999991</v>
      </c>
      <c r="D12" s="104" t="s">
        <v>10</v>
      </c>
      <c r="E12" s="105"/>
      <c r="F12" s="105"/>
      <c r="G12" s="105"/>
      <c r="H12" s="105"/>
      <c r="I12" s="105"/>
      <c r="J12" s="105"/>
      <c r="K12" s="105"/>
      <c r="L12" s="105"/>
    </row>
    <row r="13" spans="1:12" ht="17.25" customHeight="1">
      <c r="A13" s="105"/>
      <c r="B13" s="105"/>
      <c r="C13" s="105"/>
      <c r="D13" s="105"/>
      <c r="E13" s="105"/>
      <c r="F13" s="105"/>
      <c r="G13" s="104">
        <f>A1+A2+A3+A4+A5+A6+A7+A8+A9+A10+A11+A12+A13+A14+A15+A16+A17+A18</f>
        <v>0</v>
      </c>
      <c r="H13" s="105"/>
      <c r="I13" s="105"/>
      <c r="J13" s="105"/>
      <c r="K13" s="105"/>
      <c r="L13" s="105"/>
    </row>
    <row r="14" spans="1:12" ht="17.25" customHeight="1">
      <c r="A14" s="105"/>
      <c r="B14" s="11" t="s">
        <v>11</v>
      </c>
      <c r="C14" s="104" t="str">
        <f ca="1">C14</f>
        <v>#CYCLE</v>
      </c>
      <c r="D14" s="105"/>
      <c r="E14" s="105"/>
      <c r="F14" s="105"/>
      <c r="G14" s="105"/>
      <c r="H14" s="105"/>
      <c r="I14" s="105"/>
      <c r="J14" s="105"/>
      <c r="K14" s="105"/>
      <c r="L14" s="105"/>
    </row>
    <row r="15" spans="1:12" ht="17.25" customHeight="1">
      <c r="A15" s="105"/>
      <c r="B15" s="105"/>
      <c r="C15" s="104" t="s">
        <v>12</v>
      </c>
      <c r="D15" s="105"/>
      <c r="E15" s="105"/>
      <c r="F15" s="105"/>
      <c r="G15" s="105"/>
      <c r="H15" s="105"/>
      <c r="I15" s="105"/>
      <c r="J15" s="105"/>
      <c r="K15" s="105"/>
      <c r="L15" s="105"/>
    </row>
    <row r="16" spans="1:12" ht="17.25" customHeight="1">
      <c r="A16" s="105"/>
      <c r="B16" s="105"/>
      <c r="C16" s="104" t="str">
        <f>C15</f>
        <v>=(+</v>
      </c>
      <c r="D16" s="105"/>
      <c r="E16" s="105"/>
      <c r="F16" s="105"/>
      <c r="G16" s="105"/>
      <c r="H16" s="105"/>
      <c r="I16" s="105"/>
      <c r="J16" s="105"/>
      <c r="K16" s="105"/>
      <c r="L16" s="105"/>
    </row>
    <row r="17" spans="1:9" ht="17.25" customHeight="1">
      <c r="A17" s="105"/>
      <c r="B17" s="105"/>
      <c r="C17" s="104" t="s">
        <v>13</v>
      </c>
      <c r="D17" s="105"/>
      <c r="E17" s="105"/>
      <c r="F17" s="105"/>
      <c r="G17" s="105"/>
      <c r="H17" s="105"/>
      <c r="I17" s="105"/>
    </row>
    <row r="18" spans="1:9" ht="17.25" customHeight="1">
      <c r="A18" s="105"/>
      <c r="B18" s="105"/>
      <c r="C18" s="104" t="s">
        <v>14</v>
      </c>
      <c r="D18" s="105"/>
      <c r="E18" s="105"/>
      <c r="F18" s="105"/>
      <c r="G18" s="105"/>
      <c r="H18" s="105"/>
      <c r="I18" s="105"/>
    </row>
    <row r="19" spans="1:9" ht="17.25" customHeight="1">
      <c r="A19" s="105"/>
      <c r="B19" s="105"/>
      <c r="C19" s="105"/>
      <c r="D19" s="105"/>
      <c r="E19" s="3"/>
      <c r="F19" s="105"/>
      <c r="G19" s="3"/>
      <c r="H19" s="105"/>
      <c r="I19" s="105"/>
    </row>
    <row r="20" spans="1:9" ht="17.25" customHeight="1">
      <c r="A20" s="105"/>
      <c r="B20" s="5"/>
      <c r="C20" s="6" t="s">
        <v>15</v>
      </c>
      <c r="D20" s="105"/>
      <c r="E20" s="10" t="s">
        <v>16</v>
      </c>
      <c r="F20" s="5"/>
      <c r="G20" s="12" t="s">
        <v>17</v>
      </c>
      <c r="H20" s="6"/>
      <c r="I20" s="105"/>
    </row>
    <row r="21" spans="1:9" ht="17.25" customHeight="1">
      <c r="A21" s="13" t="s">
        <v>18</v>
      </c>
      <c r="B21" s="14">
        <f>jestCharts!B2</f>
        <v>0</v>
      </c>
      <c r="C21" s="105"/>
      <c r="D21" s="105"/>
      <c r="E21" s="105"/>
      <c r="F21" s="105"/>
      <c r="G21" s="10"/>
      <c r="H21" s="105"/>
      <c r="I21" s="105"/>
    </row>
    <row r="23" spans="1:9" ht="17.25" customHeight="1">
      <c r="A23" s="13" t="s">
        <v>19</v>
      </c>
      <c r="B23" s="105"/>
      <c r="C23" s="15">
        <v>0.43</v>
      </c>
      <c r="D23" s="105"/>
      <c r="E23" s="105"/>
      <c r="F23" s="105"/>
      <c r="G23" s="105"/>
      <c r="H23" s="104">
        <v>0</v>
      </c>
      <c r="I23" s="104">
        <v>0</v>
      </c>
    </row>
    <row r="24" spans="1:9" ht="17.25" customHeight="1">
      <c r="A24" s="105"/>
      <c r="B24" s="105"/>
      <c r="C24" s="16">
        <v>10</v>
      </c>
      <c r="D24" s="105"/>
      <c r="E24" s="105"/>
      <c r="F24" s="105"/>
      <c r="G24" s="105"/>
      <c r="H24" s="104">
        <v>1</v>
      </c>
      <c r="I24" s="104">
        <v>1</v>
      </c>
    </row>
    <row r="25" spans="1:9" ht="17.25" customHeight="1">
      <c r="A25" s="105"/>
      <c r="B25" s="105"/>
      <c r="C25" s="16">
        <v>10.122999999999999</v>
      </c>
      <c r="D25" s="105"/>
      <c r="E25" s="105"/>
      <c r="F25" s="105"/>
      <c r="G25" s="105"/>
      <c r="H25" s="104">
        <v>2</v>
      </c>
      <c r="I25" s="104">
        <v>2</v>
      </c>
    </row>
    <row r="26" spans="1:9" ht="17.25" customHeight="1">
      <c r="A26" s="105"/>
      <c r="B26" s="104" t="s">
        <v>20</v>
      </c>
      <c r="C26" s="104" t="s">
        <v>21</v>
      </c>
      <c r="D26" s="105"/>
      <c r="E26" s="105"/>
      <c r="F26" s="105"/>
      <c r="G26" s="105"/>
      <c r="H26" s="104">
        <v>3</v>
      </c>
      <c r="I26" s="104">
        <v>3</v>
      </c>
    </row>
    <row r="27" spans="1:9" ht="17.25" customHeight="1">
      <c r="A27" s="104" t="s">
        <v>22</v>
      </c>
      <c r="B27" s="104">
        <v>12</v>
      </c>
      <c r="C27" s="104">
        <v>24</v>
      </c>
      <c r="D27" s="105"/>
      <c r="E27" s="105"/>
      <c r="F27" s="105"/>
      <c r="G27" s="105"/>
      <c r="H27" s="104">
        <v>4</v>
      </c>
      <c r="I27" s="104">
        <v>4</v>
      </c>
    </row>
    <row r="28" spans="1:9" ht="17.25" customHeight="1">
      <c r="A28" s="104" t="s">
        <v>23</v>
      </c>
      <c r="B28" s="104">
        <v>48</v>
      </c>
      <c r="C28" s="104">
        <v>12</v>
      </c>
      <c r="D28" s="105"/>
      <c r="E28" s="105"/>
      <c r="F28" s="105"/>
      <c r="G28" s="105"/>
      <c r="H28" s="104">
        <v>5</v>
      </c>
      <c r="I28" s="104">
        <v>5</v>
      </c>
    </row>
    <row r="29" spans="1:9" ht="17.25" customHeight="1">
      <c r="A29" s="104" t="s">
        <v>24</v>
      </c>
      <c r="B29" s="104">
        <v>45</v>
      </c>
      <c r="C29" s="104">
        <v>27</v>
      </c>
      <c r="D29" s="105"/>
      <c r="E29" s="105"/>
      <c r="F29" s="105"/>
      <c r="G29" s="105"/>
      <c r="H29" s="104">
        <v>6</v>
      </c>
      <c r="I29" s="104">
        <v>4</v>
      </c>
    </row>
    <row r="30" spans="1:9" ht="17.25" customHeight="1">
      <c r="A30" s="104" t="s">
        <v>25</v>
      </c>
      <c r="B30" s="104">
        <v>1</v>
      </c>
      <c r="C30" s="104">
        <v>9</v>
      </c>
      <c r="D30" s="105"/>
      <c r="E30" s="105"/>
      <c r="F30" s="105"/>
      <c r="G30" s="105"/>
      <c r="H30" s="104">
        <v>7</v>
      </c>
      <c r="I30" s="104">
        <v>3</v>
      </c>
    </row>
    <row r="31" spans="1:9" ht="17.25" customHeight="1">
      <c r="A31" s="104" t="s">
        <v>26</v>
      </c>
      <c r="B31" s="104">
        <v>25</v>
      </c>
      <c r="C31" s="104">
        <v>45</v>
      </c>
      <c r="D31" s="105"/>
      <c r="E31" s="105"/>
      <c r="F31" s="105"/>
      <c r="G31" s="105"/>
      <c r="H31" s="104">
        <v>8</v>
      </c>
      <c r="I31" s="104">
        <v>2</v>
      </c>
    </row>
    <row r="32" spans="1:9" ht="17.25" customHeight="1">
      <c r="A32" s="104" t="s">
        <v>27</v>
      </c>
      <c r="B32" s="104">
        <v>31</v>
      </c>
      <c r="C32" s="104">
        <v>17</v>
      </c>
      <c r="D32" s="105"/>
      <c r="E32" s="105"/>
      <c r="F32" s="105"/>
      <c r="G32" s="105"/>
      <c r="H32" s="104">
        <v>9</v>
      </c>
      <c r="I32" s="104">
        <v>1</v>
      </c>
    </row>
    <row r="33" spans="1:9" ht="17.25" customHeight="1">
      <c r="A33" s="104" t="s">
        <v>28</v>
      </c>
      <c r="B33" s="104">
        <v>20</v>
      </c>
      <c r="C33" s="104">
        <v>43</v>
      </c>
      <c r="D33" s="105"/>
      <c r="E33" s="105"/>
      <c r="F33" s="105"/>
      <c r="G33" s="105"/>
      <c r="H33" s="104">
        <v>10</v>
      </c>
      <c r="I33" s="104">
        <v>0</v>
      </c>
    </row>
    <row r="34" spans="1:9" ht="17.25" customHeight="1">
      <c r="A34" s="104" t="s">
        <v>29</v>
      </c>
      <c r="B34" s="104">
        <v>19</v>
      </c>
      <c r="C34" s="104">
        <v>11</v>
      </c>
      <c r="D34" s="105"/>
      <c r="E34" s="105"/>
      <c r="F34" s="105"/>
      <c r="G34" s="105"/>
      <c r="H34" s="105"/>
      <c r="I34" s="105"/>
    </row>
    <row r="35" spans="1:9" ht="17.25" customHeight="1">
      <c r="A35" s="104" t="s">
        <v>30</v>
      </c>
      <c r="B35" s="104">
        <v>16</v>
      </c>
      <c r="C35" s="104">
        <v>16</v>
      </c>
      <c r="D35" s="105"/>
      <c r="E35" s="105"/>
      <c r="F35" s="105"/>
      <c r="G35" s="105"/>
      <c r="H35" s="105"/>
      <c r="I35" s="105"/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3.9"/>
  <cols>
    <col min="1" max="26" width="13.7109375" customWidth="1"/>
  </cols>
  <sheetData>
    <row r="1" spans="1:18" ht="17.25" customHeight="1">
      <c r="A1" s="104" t="s">
        <v>31</v>
      </c>
      <c r="B1" s="104" t="s">
        <v>32</v>
      </c>
      <c r="C1" s="104" t="s">
        <v>33</v>
      </c>
      <c r="D1" s="104" t="s">
        <v>34</v>
      </c>
      <c r="E1" s="105"/>
      <c r="F1" s="105"/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L1" s="105"/>
      <c r="M1" s="105"/>
      <c r="N1" s="104">
        <v>0.1</v>
      </c>
      <c r="O1" s="105"/>
      <c r="P1" s="17" t="s">
        <v>40</v>
      </c>
      <c r="Q1" s="105"/>
      <c r="R1" s="105"/>
    </row>
    <row r="2" spans="1:18" ht="17.25" customHeight="1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E2" s="105"/>
      <c r="F2" s="105"/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L2" s="105"/>
      <c r="M2" s="105"/>
      <c r="N2" s="104">
        <v>0.2</v>
      </c>
      <c r="O2" s="105"/>
      <c r="P2" s="105">
        <f>SUM(H2, I$2)</f>
        <v>1230.7</v>
      </c>
      <c r="Q2" s="105">
        <f>SUM(H2, $I2)</f>
        <v>1230.7</v>
      </c>
      <c r="R2" s="105">
        <f>SUM(H2, $I$2)</f>
        <v>1230.7</v>
      </c>
    </row>
    <row r="3" spans="1:18" ht="17.25" customHeight="1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E3" s="105"/>
      <c r="F3" s="105"/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L3" s="105"/>
      <c r="M3" s="105"/>
      <c r="N3" s="104">
        <v>0.4</v>
      </c>
      <c r="O3" s="105"/>
      <c r="P3" s="105">
        <f t="shared" ref="P3:P6" si="1">SUM(H3, I$2)</f>
        <v>1217.7</v>
      </c>
      <c r="Q3" s="105">
        <f t="shared" ref="Q3:Q6" si="2">SUM(H3, $I3)</f>
        <v>513.9</v>
      </c>
      <c r="R3" s="105">
        <f t="shared" ref="R3:R6" si="3">SUM(H3, $I$2)</f>
        <v>1217.7</v>
      </c>
    </row>
    <row r="4" spans="1:18" ht="17.25" customHeight="1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E4" s="105"/>
      <c r="F4" s="105"/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L4" s="105"/>
      <c r="M4" s="105"/>
      <c r="N4" s="104">
        <v>0.5</v>
      </c>
      <c r="O4" s="105"/>
      <c r="P4" s="105">
        <f t="shared" si="1"/>
        <v>1230.7</v>
      </c>
      <c r="Q4" s="105">
        <f t="shared" si="2"/>
        <v>278.39999999999998</v>
      </c>
      <c r="R4" s="105">
        <f t="shared" si="3"/>
        <v>1230.7</v>
      </c>
    </row>
    <row r="5" spans="1:18" ht="17.25" customHeight="1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E5" s="105"/>
      <c r="F5" s="105"/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L5" s="105"/>
      <c r="M5" s="105"/>
      <c r="N5" s="104">
        <v>0.6</v>
      </c>
      <c r="O5" s="105"/>
      <c r="P5" s="105">
        <f t="shared" si="1"/>
        <v>1246.7</v>
      </c>
      <c r="Q5" s="105">
        <f t="shared" si="2"/>
        <v>4743.3</v>
      </c>
      <c r="R5" s="105">
        <f t="shared" si="3"/>
        <v>1246.7</v>
      </c>
    </row>
    <row r="6" spans="1:18" ht="17.25" customHeight="1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E6" s="105"/>
      <c r="F6" s="105"/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L6" s="105"/>
      <c r="M6" s="105"/>
      <c r="N6" s="104" t="s">
        <v>51</v>
      </c>
      <c r="O6" s="105"/>
      <c r="P6" s="105">
        <f t="shared" si="1"/>
        <v>1213.7</v>
      </c>
      <c r="Q6" s="105">
        <f t="shared" si="2"/>
        <v>21.1</v>
      </c>
      <c r="R6" s="105">
        <f t="shared" si="3"/>
        <v>1213.7</v>
      </c>
    </row>
    <row r="7" spans="1:18" ht="17.25" customHeight="1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E7" s="105"/>
      <c r="F7" s="105"/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L7" s="105"/>
      <c r="M7" s="105"/>
      <c r="N7" s="104" t="b">
        <v>1</v>
      </c>
      <c r="O7" s="105"/>
      <c r="P7" s="105"/>
      <c r="Q7" s="105"/>
      <c r="R7" s="105"/>
    </row>
    <row r="8" spans="1:18" ht="17.25" customHeight="1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E8" s="105"/>
      <c r="F8" s="105"/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L8" s="105"/>
      <c r="M8" s="105"/>
      <c r="N8" s="104" t="b">
        <v>0</v>
      </c>
      <c r="O8" s="105"/>
      <c r="P8" s="105"/>
      <c r="Q8" s="105"/>
      <c r="R8" s="105"/>
    </row>
    <row r="9" spans="1:18" ht="17.25" customHeight="1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E9" s="105"/>
      <c r="F9" s="105"/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  <c r="L9" s="105"/>
      <c r="M9" s="105"/>
      <c r="N9" s="105"/>
      <c r="O9" s="105"/>
      <c r="P9" s="105"/>
      <c r="Q9" s="105"/>
      <c r="R9" s="105"/>
    </row>
    <row r="10" spans="1:18" ht="17.25" customHeight="1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</row>
    <row r="11" spans="1:18" ht="17.25" customHeight="1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E11" s="105"/>
      <c r="F11" s="105"/>
      <c r="G11" s="104" t="s">
        <v>60</v>
      </c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</row>
    <row r="12" spans="1:18" ht="17.25" customHeight="1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E12" s="105"/>
      <c r="F12" s="105"/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  <c r="L12" s="105"/>
      <c r="M12" s="105"/>
      <c r="N12" s="105"/>
      <c r="O12" s="105"/>
      <c r="P12" s="105"/>
      <c r="Q12" s="105"/>
      <c r="R12" s="105"/>
    </row>
    <row r="13" spans="1:18" ht="17.25" customHeight="1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E13" s="105"/>
      <c r="F13" s="105"/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  <c r="L13" s="105"/>
      <c r="M13" s="105"/>
      <c r="N13" s="105"/>
      <c r="O13" s="105"/>
      <c r="P13" s="105"/>
      <c r="Q13" s="105"/>
      <c r="R13" s="105"/>
    </row>
    <row r="14" spans="1:18" ht="17.25" customHeight="1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</row>
    <row r="15" spans="1:18" ht="17.25" customHeight="1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</row>
    <row r="16" spans="1:18" ht="17.25" customHeight="1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</row>
    <row r="17" spans="1:4" ht="17.25" customHeight="1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>
      <c r="A100" s="104" t="s">
        <v>160</v>
      </c>
      <c r="B100" s="19">
        <f ca="1">NOW()</f>
        <v>45587.698421412038</v>
      </c>
      <c r="C100" s="105"/>
      <c r="D100" s="104">
        <f ca="1">IF(ISNUMBER(B100),1,0)</f>
        <v>1</v>
      </c>
    </row>
    <row r="101" spans="1:4" ht="17.25" customHeight="1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>
      <c r="A112" s="104"/>
      <c r="B112" s="104"/>
      <c r="C112" s="105"/>
      <c r="D112" s="104"/>
    </row>
    <row r="113" spans="1:4" ht="17.25" customHeight="1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>
      <c r="A142" s="104" t="s">
        <v>205</v>
      </c>
      <c r="B142" s="20">
        <f>TIME(9,11,31)</f>
        <v>0.38299768518518523</v>
      </c>
      <c r="C142" s="20">
        <v>0.38299768519999999</v>
      </c>
      <c r="D142" s="104">
        <f t="shared" si="8"/>
        <v>0</v>
      </c>
    </row>
    <row r="143" spans="1:4" ht="17.25" customHeight="1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>
      <c r="A144" s="104" t="s">
        <v>207</v>
      </c>
      <c r="B144" s="18">
        <f ca="1">TODAY()</f>
        <v>45587</v>
      </c>
      <c r="C144" s="105"/>
      <c r="D144" s="104">
        <f ca="1">IF(ISNUMBER(B144),1,0)</f>
        <v>1</v>
      </c>
    </row>
    <row r="145" spans="1:4" ht="17.25" customHeight="1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3.9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s="105" t="s">
        <v>230</v>
      </c>
      <c r="B1" s="105"/>
      <c r="C1" s="105" t="s">
        <v>231</v>
      </c>
      <c r="D1" s="110" t="s">
        <v>232</v>
      </c>
      <c r="E1" s="110"/>
      <c r="F1" s="105" t="s">
        <v>233</v>
      </c>
      <c r="G1" s="105"/>
      <c r="H1" s="34" t="s">
        <v>234</v>
      </c>
    </row>
    <row r="2" spans="1:8">
      <c r="A2" s="105">
        <f>SUM(A1)</f>
        <v>0</v>
      </c>
      <c r="B2" s="105"/>
      <c r="C2" s="105"/>
      <c r="D2" s="110"/>
      <c r="E2" s="110"/>
      <c r="F2" s="105"/>
      <c r="G2" s="105"/>
      <c r="H2" s="105" t="str">
        <f>[1]Feuil1!$A$1</f>
        <v>referenced string</v>
      </c>
    </row>
    <row r="3" spans="1:8">
      <c r="A3" s="105"/>
      <c r="B3" s="105"/>
      <c r="C3" s="105"/>
      <c r="D3" s="85" t="s">
        <v>235</v>
      </c>
      <c r="E3" s="105"/>
      <c r="F3" s="85" t="s">
        <v>236</v>
      </c>
      <c r="G3" s="105"/>
      <c r="H3" s="105"/>
    </row>
    <row r="4" spans="1:8" hidden="1">
      <c r="A4" s="105" t="s">
        <v>237</v>
      </c>
      <c r="B4" s="105"/>
      <c r="C4" s="105"/>
      <c r="D4" s="105"/>
      <c r="E4" s="105"/>
      <c r="F4" s="105"/>
      <c r="G4" s="105"/>
      <c r="H4" s="105"/>
    </row>
    <row r="5" spans="1:8" ht="75" customHeight="1">
      <c r="A5" s="105" t="s">
        <v>238</v>
      </c>
      <c r="B5" s="105"/>
      <c r="C5" s="105"/>
      <c r="D5" s="105"/>
      <c r="E5" s="105"/>
      <c r="F5" s="105"/>
      <c r="G5" s="105"/>
      <c r="H5" s="105"/>
    </row>
    <row r="10" spans="1:8" outlineLevel="1">
      <c r="A10" s="105"/>
      <c r="B10" s="105"/>
      <c r="C10" s="105"/>
      <c r="D10" s="105"/>
      <c r="E10" s="105"/>
      <c r="F10" s="105"/>
      <c r="G10" s="105"/>
      <c r="H10" s="105"/>
    </row>
    <row r="11" spans="1:8" outlineLevel="1">
      <c r="A11" s="105"/>
      <c r="B11" s="105"/>
      <c r="C11" s="105"/>
      <c r="D11" s="105"/>
      <c r="E11" s="105"/>
      <c r="F11" s="105"/>
      <c r="G11" s="105"/>
      <c r="H11" s="105"/>
    </row>
    <row r="12" spans="1:8" hidden="1" outlineLevel="2">
      <c r="A12" s="105"/>
      <c r="B12" s="105"/>
      <c r="C12" s="105"/>
      <c r="D12" s="105"/>
      <c r="E12" s="105"/>
      <c r="F12" s="105"/>
      <c r="G12" s="105"/>
      <c r="H12" s="105"/>
    </row>
    <row r="13" spans="1:8" hidden="1" outlineLevel="2">
      <c r="A13" s="105"/>
      <c r="B13" s="105"/>
      <c r="C13" s="105"/>
      <c r="D13" s="105"/>
      <c r="E13" s="105"/>
      <c r="F13" s="105"/>
      <c r="G13" s="105"/>
      <c r="H13" s="105"/>
    </row>
    <row r="14" spans="1:8" hidden="1" outlineLevel="2">
      <c r="A14" s="105"/>
      <c r="B14" s="105"/>
      <c r="C14" s="105"/>
      <c r="D14" s="105"/>
      <c r="E14" s="105"/>
      <c r="F14" s="105"/>
      <c r="G14" s="105"/>
      <c r="H14" s="105"/>
    </row>
    <row r="15" spans="1:8" outlineLevel="1" collapsed="1">
      <c r="A15" s="105"/>
      <c r="B15" s="105"/>
      <c r="C15" s="105"/>
      <c r="D15" s="105"/>
      <c r="E15" s="105"/>
      <c r="F15" s="105"/>
      <c r="G15" s="105"/>
      <c r="H15" s="105"/>
    </row>
    <row r="16" spans="1:8" outlineLevel="1">
      <c r="A16" s="105"/>
      <c r="B16" s="105"/>
      <c r="C16" s="105"/>
      <c r="D16" s="105"/>
      <c r="E16" s="105"/>
      <c r="F16" s="105"/>
      <c r="G16" s="105"/>
      <c r="H16" s="105"/>
    </row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3.9"/>
  <cols>
    <col min="3" max="3" width="17.7109375" customWidth="1"/>
    <col min="5" max="5" width="18.28515625" customWidth="1"/>
    <col min="13" max="13" width="10.42578125" bestFit="1" customWidth="1"/>
  </cols>
  <sheetData>
    <row r="1" spans="1:13" ht="14.45" thickBot="1">
      <c r="A1" s="68" t="s">
        <v>239</v>
      </c>
      <c r="B1" s="105"/>
      <c r="C1" s="34" t="s">
        <v>240</v>
      </c>
      <c r="D1" s="105"/>
      <c r="E1" s="35" t="s">
        <v>241</v>
      </c>
      <c r="F1" s="36"/>
      <c r="G1" s="105"/>
      <c r="H1" s="34" t="s">
        <v>242</v>
      </c>
      <c r="I1" s="105"/>
      <c r="J1" s="34" t="s">
        <v>243</v>
      </c>
      <c r="K1" s="105"/>
      <c r="L1" s="93" t="s">
        <v>244</v>
      </c>
      <c r="M1" s="36"/>
    </row>
    <row r="2" spans="1:13">
      <c r="A2" s="40" t="s">
        <v>245</v>
      </c>
      <c r="B2" s="105"/>
      <c r="C2" s="86" t="s">
        <v>246</v>
      </c>
      <c r="D2" s="105"/>
      <c r="E2" s="38" t="s">
        <v>247</v>
      </c>
      <c r="F2" s="21" t="s">
        <v>248</v>
      </c>
      <c r="G2" s="105"/>
      <c r="H2" s="72" t="s">
        <v>249</v>
      </c>
      <c r="I2" s="105"/>
      <c r="J2" s="83" t="s">
        <v>250</v>
      </c>
      <c r="K2" s="105"/>
      <c r="L2" s="21" t="s">
        <v>251</v>
      </c>
      <c r="M2" s="94">
        <v>10</v>
      </c>
    </row>
    <row r="3" spans="1:13">
      <c r="A3" s="41" t="s">
        <v>252</v>
      </c>
      <c r="B3" s="105"/>
      <c r="C3" s="105"/>
      <c r="D3" s="105"/>
      <c r="E3" s="38" t="s">
        <v>15</v>
      </c>
      <c r="F3" s="23" t="s">
        <v>248</v>
      </c>
      <c r="G3" s="105"/>
      <c r="H3" s="71" t="s">
        <v>253</v>
      </c>
      <c r="I3" s="105"/>
      <c r="J3" s="73" t="s">
        <v>254</v>
      </c>
      <c r="K3" s="105"/>
      <c r="L3" s="21" t="s">
        <v>255</v>
      </c>
      <c r="M3" s="95">
        <v>10</v>
      </c>
    </row>
    <row r="4" spans="1:13" ht="16.149999999999999">
      <c r="A4" s="42" t="s">
        <v>256</v>
      </c>
      <c r="B4" s="105"/>
      <c r="C4" s="56" t="s">
        <v>257</v>
      </c>
      <c r="D4" s="105"/>
      <c r="E4" s="38" t="s">
        <v>258</v>
      </c>
      <c r="F4" s="24" t="s">
        <v>248</v>
      </c>
      <c r="G4" s="105"/>
      <c r="H4" s="34" t="s">
        <v>259</v>
      </c>
      <c r="I4" s="105"/>
      <c r="J4" s="84" t="s">
        <v>260</v>
      </c>
      <c r="K4" s="105"/>
      <c r="L4" s="21" t="s">
        <v>261</v>
      </c>
      <c r="M4" s="96">
        <v>10</v>
      </c>
    </row>
    <row r="5" spans="1:13">
      <c r="A5" s="43" t="s">
        <v>262</v>
      </c>
      <c r="B5" s="105"/>
      <c r="C5" s="105"/>
      <c r="D5" s="105"/>
      <c r="E5" s="38" t="s">
        <v>263</v>
      </c>
      <c r="F5" s="25" t="s">
        <v>248</v>
      </c>
      <c r="G5" s="105"/>
      <c r="H5" s="70" t="s">
        <v>264</v>
      </c>
      <c r="I5" s="105"/>
      <c r="J5" s="105"/>
      <c r="K5" s="105"/>
      <c r="L5" s="21" t="s">
        <v>265</v>
      </c>
      <c r="M5" s="97">
        <v>10</v>
      </c>
    </row>
    <row r="6" spans="1:13">
      <c r="A6" s="44" t="s">
        <v>266</v>
      </c>
      <c r="B6" s="105"/>
      <c r="C6" s="57" t="s">
        <v>267</v>
      </c>
      <c r="D6" s="105"/>
      <c r="E6" s="38" t="s">
        <v>268</v>
      </c>
      <c r="F6" s="26" t="s">
        <v>248</v>
      </c>
      <c r="G6" s="105"/>
      <c r="H6" s="69" t="s">
        <v>269</v>
      </c>
      <c r="I6" s="105"/>
      <c r="J6" s="105"/>
      <c r="K6" s="105"/>
      <c r="L6" s="21" t="s">
        <v>270</v>
      </c>
      <c r="M6" s="98">
        <v>10</v>
      </c>
    </row>
    <row r="7" spans="1:13" ht="15.6">
      <c r="A7" s="45" t="s">
        <v>271</v>
      </c>
      <c r="B7" s="105"/>
      <c r="C7" s="105"/>
      <c r="D7" s="105"/>
      <c r="E7" s="38" t="s">
        <v>272</v>
      </c>
      <c r="F7" s="27" t="s">
        <v>248</v>
      </c>
      <c r="G7" s="105"/>
      <c r="H7" s="82" t="s">
        <v>273</v>
      </c>
      <c r="I7" s="105"/>
      <c r="J7" s="105"/>
      <c r="K7" s="105"/>
      <c r="L7" s="38" t="s">
        <v>274</v>
      </c>
      <c r="M7" s="100">
        <v>10</v>
      </c>
    </row>
    <row r="8" spans="1:13" ht="21">
      <c r="A8" s="46" t="s">
        <v>275</v>
      </c>
      <c r="B8" s="105"/>
      <c r="C8" s="58" t="s">
        <v>276</v>
      </c>
      <c r="D8" s="105"/>
      <c r="E8" s="38" t="s">
        <v>277</v>
      </c>
      <c r="F8" s="28" t="s">
        <v>248</v>
      </c>
      <c r="G8" s="105"/>
      <c r="H8" s="81" t="s">
        <v>278</v>
      </c>
      <c r="I8" s="105"/>
      <c r="J8" s="105"/>
      <c r="K8" s="105"/>
      <c r="L8" s="38" t="s">
        <v>279</v>
      </c>
      <c r="M8" s="101">
        <v>10</v>
      </c>
    </row>
    <row r="9" spans="1:13">
      <c r="A9" s="47" t="s">
        <v>280</v>
      </c>
      <c r="B9" s="105"/>
      <c r="C9" s="105"/>
      <c r="D9" s="105"/>
      <c r="E9" s="38" t="s">
        <v>281</v>
      </c>
      <c r="F9" s="29" t="s">
        <v>248</v>
      </c>
      <c r="G9" s="105"/>
      <c r="H9" s="105"/>
      <c r="I9" s="105"/>
      <c r="J9" s="105"/>
      <c r="K9" s="105"/>
      <c r="L9" s="38" t="s">
        <v>282</v>
      </c>
      <c r="M9" s="102">
        <v>10</v>
      </c>
    </row>
    <row r="10" spans="1:13">
      <c r="A10" s="48" t="s">
        <v>283</v>
      </c>
      <c r="B10" s="105"/>
      <c r="C10" s="59" t="s">
        <v>284</v>
      </c>
      <c r="D10" s="105"/>
      <c r="E10" s="105"/>
      <c r="F10" s="105"/>
      <c r="G10" s="105"/>
      <c r="H10" s="105"/>
      <c r="I10" s="105"/>
      <c r="J10" s="105"/>
      <c r="K10" s="105"/>
      <c r="L10" s="105"/>
      <c r="M10" s="105"/>
    </row>
    <row r="11" spans="1:13" ht="14.45" thickBot="1">
      <c r="A11" s="49" t="s">
        <v>285</v>
      </c>
      <c r="B11" s="105"/>
      <c r="C11" s="105"/>
      <c r="D11" s="105"/>
      <c r="E11" s="35" t="s">
        <v>286</v>
      </c>
      <c r="F11" s="36"/>
      <c r="G11" s="105"/>
      <c r="H11" s="105"/>
      <c r="I11" s="105"/>
      <c r="J11" s="105"/>
      <c r="K11" s="105"/>
      <c r="L11" s="105"/>
      <c r="M11" s="105"/>
    </row>
    <row r="12" spans="1:13" ht="18.75" customHeight="1">
      <c r="A12" s="50" t="s">
        <v>287</v>
      </c>
      <c r="B12" s="105"/>
      <c r="C12" s="60" t="s">
        <v>288</v>
      </c>
      <c r="D12" s="105"/>
      <c r="E12" s="38" t="s">
        <v>289</v>
      </c>
      <c r="F12" s="21" t="s">
        <v>248</v>
      </c>
      <c r="G12" s="105"/>
      <c r="H12" s="105"/>
      <c r="I12" s="105"/>
      <c r="J12" s="105"/>
      <c r="K12" s="105"/>
      <c r="L12" s="105"/>
      <c r="M12" s="105"/>
    </row>
    <row r="13" spans="1:13" ht="18.75" customHeight="1" thickBot="1">
      <c r="A13" s="51" t="s">
        <v>290</v>
      </c>
      <c r="B13" s="105"/>
      <c r="C13" s="105"/>
      <c r="D13" s="105"/>
      <c r="E13" s="38" t="s">
        <v>16</v>
      </c>
      <c r="F13" s="30" t="s">
        <v>248</v>
      </c>
      <c r="G13" s="105"/>
      <c r="H13" s="105"/>
      <c r="I13" s="105"/>
      <c r="J13" s="105"/>
      <c r="K13" s="105"/>
      <c r="L13" s="105"/>
      <c r="M13" s="105"/>
    </row>
    <row r="14" spans="1:13" ht="18.75" customHeight="1" thickBot="1">
      <c r="A14" s="52" t="s">
        <v>291</v>
      </c>
      <c r="B14" s="105"/>
      <c r="C14" s="61" t="s">
        <v>292</v>
      </c>
      <c r="D14" s="105"/>
      <c r="E14" s="38" t="s">
        <v>258</v>
      </c>
      <c r="F14" s="31" t="s">
        <v>248</v>
      </c>
      <c r="G14" s="105"/>
      <c r="H14" s="105"/>
      <c r="I14" s="105"/>
      <c r="J14" s="105"/>
      <c r="K14" s="105"/>
      <c r="L14" s="105"/>
      <c r="M14" s="105"/>
    </row>
    <row r="15" spans="1:13" ht="18.75" customHeight="1" thickBot="1">
      <c r="A15" s="53" t="s">
        <v>293</v>
      </c>
      <c r="B15" s="105"/>
      <c r="C15" s="105"/>
      <c r="D15" s="105"/>
      <c r="E15" s="38" t="s">
        <v>272</v>
      </c>
      <c r="F15" s="32" t="s">
        <v>248</v>
      </c>
      <c r="G15" s="105"/>
      <c r="H15" s="105"/>
      <c r="I15" s="105"/>
      <c r="J15" s="105"/>
      <c r="K15" s="105"/>
      <c r="L15" s="105"/>
      <c r="M15" s="105"/>
    </row>
    <row r="16" spans="1:13" ht="19.5" customHeight="1" thickBot="1">
      <c r="A16" s="54" t="s">
        <v>294</v>
      </c>
      <c r="B16" s="105"/>
      <c r="C16" s="62" t="s">
        <v>295</v>
      </c>
      <c r="D16" s="105"/>
      <c r="E16" s="38" t="s">
        <v>281</v>
      </c>
      <c r="F16" s="33" t="s">
        <v>248</v>
      </c>
      <c r="G16" s="105"/>
      <c r="H16" s="105"/>
      <c r="I16" s="105"/>
      <c r="J16" s="105"/>
      <c r="K16" s="105"/>
      <c r="L16" s="105"/>
      <c r="M16" s="105"/>
    </row>
    <row r="17" spans="1:6" ht="14.45" thickBot="1">
      <c r="A17" s="55" t="s">
        <v>296</v>
      </c>
      <c r="B17" s="105"/>
      <c r="C17" s="105"/>
      <c r="D17" s="105"/>
      <c r="E17" s="105"/>
      <c r="F17" s="105"/>
    </row>
    <row r="18" spans="1:6" ht="14.45" thickBot="1">
      <c r="A18" s="74" t="s">
        <v>297</v>
      </c>
      <c r="B18" s="105"/>
      <c r="C18" s="63" t="s">
        <v>298</v>
      </c>
      <c r="D18" s="105"/>
      <c r="E18" s="35" t="s">
        <v>299</v>
      </c>
      <c r="F18" s="36"/>
    </row>
    <row r="19" spans="1:6" ht="14.45" thickBot="1">
      <c r="A19" s="75" t="s">
        <v>300</v>
      </c>
      <c r="B19" s="105"/>
      <c r="C19" s="105"/>
      <c r="D19" s="105"/>
      <c r="E19" s="38" t="s">
        <v>301</v>
      </c>
      <c r="F19" s="105" t="s">
        <v>302</v>
      </c>
    </row>
    <row r="20" spans="1:6" ht="55.9" thickBot="1">
      <c r="A20" s="76" t="s">
        <v>303</v>
      </c>
      <c r="B20" s="105"/>
      <c r="C20" s="64" t="s">
        <v>304</v>
      </c>
      <c r="D20" s="105"/>
      <c r="E20" s="38" t="s">
        <v>305</v>
      </c>
      <c r="F20" s="103" t="s">
        <v>302</v>
      </c>
    </row>
    <row r="21" spans="1:6" ht="14.45" thickBot="1">
      <c r="A21" s="77" t="s">
        <v>306</v>
      </c>
      <c r="B21" s="105"/>
      <c r="C21" s="105"/>
      <c r="D21" s="105"/>
      <c r="E21" s="105"/>
      <c r="F21" s="105"/>
    </row>
    <row r="22" spans="1:6" ht="14.45" thickBot="1">
      <c r="A22" s="78" t="s">
        <v>307</v>
      </c>
      <c r="B22" s="105"/>
      <c r="C22" s="65" t="s">
        <v>308</v>
      </c>
      <c r="D22" s="105"/>
      <c r="E22" s="21"/>
      <c r="F22" s="105"/>
    </row>
    <row r="23" spans="1:6" ht="14.45" thickBot="1">
      <c r="A23" s="79" t="s">
        <v>309</v>
      </c>
      <c r="B23" s="105"/>
      <c r="C23" s="105"/>
      <c r="D23" s="105"/>
      <c r="E23" s="21"/>
      <c r="F23" s="105"/>
    </row>
    <row r="24" spans="1:6" ht="15" thickTop="1" thickBot="1">
      <c r="A24" s="80" t="s">
        <v>310</v>
      </c>
      <c r="B24" s="105"/>
      <c r="C24" s="66" t="s">
        <v>311</v>
      </c>
      <c r="D24" s="105"/>
      <c r="E24" s="21"/>
      <c r="F24" s="105"/>
    </row>
    <row r="25" spans="1:6" ht="15" thickTop="1" thickBot="1">
      <c r="A25" s="105"/>
      <c r="B25" s="105"/>
      <c r="C25" s="105"/>
      <c r="D25" s="105"/>
      <c r="E25" s="105"/>
      <c r="F25" s="105"/>
    </row>
    <row r="26" spans="1:6" ht="15" thickTop="1" thickBot="1">
      <c r="A26" s="105"/>
      <c r="B26" s="105"/>
      <c r="C26" s="67" t="s">
        <v>312</v>
      </c>
      <c r="D26" s="105"/>
      <c r="E26" s="105"/>
      <c r="F26" s="105"/>
    </row>
    <row r="27" spans="1:6" ht="15" thickTop="1" thickBot="1">
      <c r="A27" s="105"/>
      <c r="B27" s="105"/>
      <c r="C27" s="105"/>
      <c r="D27" s="105"/>
      <c r="E27" s="105"/>
      <c r="F27" s="105"/>
    </row>
    <row r="28" spans="1:6" ht="15" thickTop="1" thickBot="1">
      <c r="A28" s="105"/>
      <c r="B28" s="105"/>
      <c r="C28" s="88" t="s">
        <v>313</v>
      </c>
      <c r="D28" s="105"/>
      <c r="E28" s="105"/>
      <c r="F28" s="105"/>
    </row>
    <row r="29" spans="1:6" ht="14.45" thickTop="1">
      <c r="A29" s="105"/>
      <c r="B29" s="105"/>
      <c r="C29" s="105"/>
      <c r="D29" s="105"/>
      <c r="E29" s="105"/>
      <c r="F29" s="105"/>
    </row>
    <row r="30" spans="1:6">
      <c r="A30" s="105"/>
      <c r="B30" s="105"/>
      <c r="C30" s="87" t="s">
        <v>314</v>
      </c>
      <c r="D30" s="105"/>
      <c r="E30" s="105"/>
      <c r="F30" s="105"/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3.9"/>
  <cols>
    <col min="1" max="1" width="19.140625" customWidth="1"/>
    <col min="7" max="7" width="15.85546875" customWidth="1"/>
  </cols>
  <sheetData>
    <row r="1" spans="1:10" ht="14.45" thickBot="1">
      <c r="A1" s="37" t="s">
        <v>315</v>
      </c>
      <c r="B1" s="35" t="s">
        <v>316</v>
      </c>
      <c r="C1" s="35" t="s">
        <v>317</v>
      </c>
      <c r="D1" s="105"/>
      <c r="E1" s="105"/>
      <c r="F1" s="105"/>
      <c r="G1" s="35" t="s">
        <v>318</v>
      </c>
      <c r="H1" s="36"/>
      <c r="I1" s="36"/>
      <c r="J1" s="36"/>
    </row>
    <row r="2" spans="1:10">
      <c r="A2" s="38" t="s">
        <v>319</v>
      </c>
      <c r="B2" s="105">
        <v>3</v>
      </c>
      <c r="C2" s="105">
        <v>1</v>
      </c>
      <c r="D2" s="105"/>
      <c r="E2" s="105"/>
      <c r="F2" s="105"/>
      <c r="G2" s="34" t="s">
        <v>320</v>
      </c>
      <c r="H2" s="21">
        <v>5</v>
      </c>
      <c r="I2" s="105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D3" s="105"/>
      <c r="E3" s="105"/>
      <c r="F3" s="105"/>
      <c r="G3" s="34" t="s">
        <v>324</v>
      </c>
      <c r="H3" s="105">
        <v>5</v>
      </c>
      <c r="I3" s="105">
        <v>3</v>
      </c>
      <c r="J3" s="105">
        <v>1</v>
      </c>
    </row>
    <row r="4" spans="1:10">
      <c r="A4" s="38" t="s">
        <v>325</v>
      </c>
      <c r="B4" s="105"/>
      <c r="C4" s="21" t="s">
        <v>326</v>
      </c>
      <c r="D4" s="105"/>
      <c r="E4" s="105"/>
      <c r="F4" s="105"/>
      <c r="G4" s="34" t="s">
        <v>327</v>
      </c>
      <c r="H4" s="105">
        <v>5</v>
      </c>
      <c r="I4" s="105">
        <v>3</v>
      </c>
      <c r="J4" s="105">
        <v>1</v>
      </c>
    </row>
    <row r="5" spans="1:10">
      <c r="A5" s="38" t="s">
        <v>328</v>
      </c>
      <c r="B5" s="105" t="e">
        <f>0/0</f>
        <v>#DIV/0!</v>
      </c>
      <c r="C5" s="105">
        <v>0</v>
      </c>
      <c r="D5" s="105"/>
      <c r="E5" s="105"/>
      <c r="F5" s="105"/>
      <c r="G5" s="34" t="s">
        <v>329</v>
      </c>
      <c r="H5" s="105">
        <v>5</v>
      </c>
      <c r="I5" s="105">
        <v>3</v>
      </c>
      <c r="J5" s="105">
        <v>1</v>
      </c>
    </row>
    <row r="6" spans="1:10">
      <c r="A6" s="38" t="s">
        <v>330</v>
      </c>
      <c r="B6" s="21" t="s">
        <v>331</v>
      </c>
      <c r="C6" s="21" t="s">
        <v>323</v>
      </c>
      <c r="D6" s="105"/>
      <c r="E6" s="105"/>
      <c r="F6" s="105"/>
      <c r="G6" s="34" t="s">
        <v>332</v>
      </c>
      <c r="H6" s="105">
        <v>5</v>
      </c>
      <c r="I6" s="105">
        <v>3</v>
      </c>
      <c r="J6" s="105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E7" s="105"/>
      <c r="F7" s="105"/>
      <c r="G7" s="34" t="s">
        <v>336</v>
      </c>
      <c r="H7" s="105">
        <v>5</v>
      </c>
      <c r="I7" s="105">
        <v>3</v>
      </c>
      <c r="J7" s="105">
        <v>1</v>
      </c>
    </row>
    <row r="8" spans="1:10">
      <c r="A8" s="38" t="s">
        <v>337</v>
      </c>
      <c r="B8" s="21" t="s">
        <v>338</v>
      </c>
      <c r="C8" s="21" t="s">
        <v>323</v>
      </c>
      <c r="D8" s="105"/>
      <c r="E8" s="105"/>
      <c r="F8" s="105"/>
      <c r="G8" s="105"/>
      <c r="H8" s="105"/>
      <c r="I8" s="105"/>
      <c r="J8" s="105"/>
    </row>
    <row r="9" spans="1:10">
      <c r="A9" s="38" t="s">
        <v>339</v>
      </c>
      <c r="B9" s="21" t="s">
        <v>326</v>
      </c>
      <c r="C9" s="21"/>
      <c r="D9" s="105"/>
      <c r="E9" s="105"/>
      <c r="F9" s="105"/>
      <c r="G9" s="105"/>
      <c r="H9" s="105"/>
      <c r="I9" s="105"/>
      <c r="J9" s="105"/>
    </row>
    <row r="10" spans="1:10" ht="14.45" thickBot="1">
      <c r="A10" s="38" t="s">
        <v>340</v>
      </c>
      <c r="B10" s="105">
        <v>0</v>
      </c>
      <c r="C10" s="105" t="e">
        <f>0/0</f>
        <v>#DIV/0!</v>
      </c>
      <c r="D10" s="105"/>
      <c r="E10" s="105"/>
      <c r="F10" s="105"/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D11" s="105"/>
      <c r="E11" s="105"/>
      <c r="F11" s="105"/>
      <c r="G11" s="34" t="s">
        <v>343</v>
      </c>
      <c r="H11" s="105">
        <v>5</v>
      </c>
      <c r="I11" s="105">
        <v>3</v>
      </c>
      <c r="J11" s="105">
        <v>1</v>
      </c>
    </row>
    <row r="12" spans="1:10">
      <c r="A12" s="38" t="s">
        <v>344</v>
      </c>
      <c r="B12" s="39">
        <f ca="1">TODAY()</f>
        <v>45587</v>
      </c>
      <c r="C12" s="39">
        <f>DATE(2010,10,2)</f>
        <v>40453</v>
      </c>
      <c r="D12" s="105"/>
      <c r="E12" s="105"/>
      <c r="F12" s="105"/>
      <c r="G12" s="34" t="s">
        <v>345</v>
      </c>
      <c r="H12" s="105">
        <v>5</v>
      </c>
      <c r="I12" s="105">
        <v>3</v>
      </c>
      <c r="J12" s="105">
        <v>1</v>
      </c>
    </row>
    <row r="13" spans="1:10">
      <c r="A13" s="38" t="s">
        <v>346</v>
      </c>
      <c r="B13" s="105">
        <v>7</v>
      </c>
      <c r="C13" s="105">
        <v>5</v>
      </c>
      <c r="D13" s="105"/>
      <c r="E13" s="105"/>
      <c r="F13" s="105"/>
      <c r="G13" s="34" t="s">
        <v>347</v>
      </c>
      <c r="H13" s="105">
        <v>5</v>
      </c>
      <c r="I13" s="105">
        <v>3</v>
      </c>
      <c r="J13" s="105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E14" s="105"/>
      <c r="F14" s="105"/>
      <c r="G14" s="34" t="s">
        <v>349</v>
      </c>
      <c r="H14" s="105">
        <v>5</v>
      </c>
      <c r="I14" s="105">
        <v>3</v>
      </c>
      <c r="J14" s="105">
        <v>1</v>
      </c>
    </row>
    <row r="15" spans="1:10">
      <c r="A15" s="38" t="s">
        <v>350</v>
      </c>
      <c r="B15" s="105">
        <v>1</v>
      </c>
      <c r="C15" s="105"/>
      <c r="D15" s="105"/>
      <c r="E15" s="105"/>
      <c r="F15" s="105"/>
      <c r="G15" s="34" t="s">
        <v>351</v>
      </c>
      <c r="H15" s="105">
        <v>5</v>
      </c>
      <c r="I15" s="105">
        <v>3</v>
      </c>
      <c r="J15" s="105">
        <v>1</v>
      </c>
    </row>
    <row r="16" spans="1:10">
      <c r="A16" s="38" t="s">
        <v>352</v>
      </c>
      <c r="B16" s="105">
        <v>2</v>
      </c>
      <c r="C16" s="105">
        <v>1</v>
      </c>
      <c r="D16" s="105"/>
      <c r="E16" s="105"/>
      <c r="F16" s="105"/>
      <c r="G16" s="34" t="s">
        <v>353</v>
      </c>
      <c r="H16" s="105">
        <v>5</v>
      </c>
      <c r="I16" s="105">
        <v>3</v>
      </c>
      <c r="J16" s="105">
        <v>1</v>
      </c>
    </row>
    <row r="17" spans="1:12">
      <c r="A17" s="38" t="s">
        <v>354</v>
      </c>
      <c r="B17" s="105">
        <v>0</v>
      </c>
      <c r="C17" s="105">
        <v>2</v>
      </c>
      <c r="D17" s="105"/>
      <c r="E17" s="105"/>
      <c r="F17" s="105"/>
      <c r="G17" s="34" t="s">
        <v>355</v>
      </c>
      <c r="H17" s="105">
        <v>5</v>
      </c>
      <c r="I17" s="105">
        <v>3</v>
      </c>
      <c r="J17" s="105">
        <v>1</v>
      </c>
      <c r="K17" s="105"/>
      <c r="L17" s="105"/>
    </row>
    <row r="18" spans="1:12">
      <c r="A18" s="38" t="s">
        <v>356</v>
      </c>
      <c r="B18" s="105">
        <v>3</v>
      </c>
      <c r="C18" s="105">
        <v>0</v>
      </c>
      <c r="D18" s="105"/>
      <c r="E18" s="105"/>
      <c r="F18" s="105"/>
      <c r="G18" s="34" t="s">
        <v>357</v>
      </c>
      <c r="H18" s="105">
        <v>5</v>
      </c>
      <c r="I18" s="105">
        <v>3</v>
      </c>
      <c r="J18" s="105">
        <v>1</v>
      </c>
      <c r="K18" s="105"/>
      <c r="L18" s="105"/>
    </row>
    <row r="19" spans="1:12">
      <c r="A19" s="38" t="s">
        <v>358</v>
      </c>
      <c r="B19" s="105">
        <v>2</v>
      </c>
      <c r="C19" s="105">
        <v>0</v>
      </c>
      <c r="D19" s="105"/>
      <c r="E19" s="105"/>
      <c r="F19" s="105"/>
      <c r="G19" s="34" t="s">
        <v>359</v>
      </c>
      <c r="H19" s="105">
        <v>5</v>
      </c>
      <c r="I19" s="105">
        <v>3</v>
      </c>
      <c r="J19" s="105">
        <v>1</v>
      </c>
      <c r="K19" s="105"/>
      <c r="L19" s="105"/>
    </row>
    <row r="20" spans="1:12">
      <c r="A20" s="38" t="s">
        <v>360</v>
      </c>
      <c r="B20" s="105">
        <v>0</v>
      </c>
      <c r="C20" s="105">
        <v>2</v>
      </c>
      <c r="D20" s="105"/>
      <c r="E20" s="105"/>
      <c r="F20" s="105"/>
      <c r="G20" s="34" t="s">
        <v>361</v>
      </c>
      <c r="H20" s="105">
        <v>5</v>
      </c>
      <c r="I20" s="105">
        <v>3</v>
      </c>
      <c r="J20" s="105">
        <v>1</v>
      </c>
      <c r="K20" s="105"/>
      <c r="L20" s="105"/>
    </row>
    <row r="21" spans="1:12">
      <c r="A21" s="38" t="s">
        <v>362</v>
      </c>
      <c r="B21" s="105">
        <v>2</v>
      </c>
      <c r="C21" s="105">
        <v>3</v>
      </c>
      <c r="D21" s="105"/>
      <c r="E21" s="105"/>
      <c r="F21" s="105"/>
      <c r="G21" s="34" t="s">
        <v>363</v>
      </c>
      <c r="H21" s="105">
        <v>5</v>
      </c>
      <c r="I21" s="105">
        <v>4</v>
      </c>
      <c r="J21" s="105">
        <v>3</v>
      </c>
      <c r="K21" s="105">
        <v>2</v>
      </c>
      <c r="L21" s="105"/>
    </row>
    <row r="22" spans="1:12">
      <c r="A22" s="38" t="s">
        <v>364</v>
      </c>
      <c r="B22" s="105">
        <v>2</v>
      </c>
      <c r="C22" s="105">
        <v>0</v>
      </c>
      <c r="D22" s="105"/>
      <c r="E22" s="105"/>
      <c r="F22" s="105"/>
      <c r="G22" s="34" t="s">
        <v>365</v>
      </c>
      <c r="H22" s="105">
        <v>5</v>
      </c>
      <c r="I22" s="105">
        <v>4</v>
      </c>
      <c r="J22" s="105">
        <v>3</v>
      </c>
      <c r="K22" s="105">
        <v>2</v>
      </c>
      <c r="L22" s="105"/>
    </row>
    <row r="23" spans="1:12">
      <c r="A23" s="38" t="s">
        <v>366</v>
      </c>
      <c r="B23" s="105">
        <v>1</v>
      </c>
      <c r="C23" s="105">
        <v>2</v>
      </c>
      <c r="D23" s="105"/>
      <c r="E23" s="105"/>
      <c r="F23" s="105"/>
      <c r="G23" s="34" t="s">
        <v>367</v>
      </c>
      <c r="H23" s="105">
        <v>5</v>
      </c>
      <c r="I23" s="105">
        <v>4</v>
      </c>
      <c r="J23" s="105">
        <v>3</v>
      </c>
      <c r="K23" s="105">
        <v>2</v>
      </c>
      <c r="L23" s="105"/>
    </row>
    <row r="24" spans="1:12">
      <c r="A24" s="105"/>
      <c r="B24" s="105"/>
      <c r="C24" s="105"/>
      <c r="D24" s="105"/>
      <c r="E24" s="105"/>
      <c r="F24" s="105"/>
      <c r="G24" s="34" t="s">
        <v>368</v>
      </c>
      <c r="H24" s="105">
        <v>5</v>
      </c>
      <c r="I24" s="105">
        <v>4</v>
      </c>
      <c r="J24" s="105">
        <v>3</v>
      </c>
      <c r="K24" s="105">
        <v>2</v>
      </c>
      <c r="L24" s="105"/>
    </row>
    <row r="25" spans="1:12">
      <c r="A25" s="38" t="s">
        <v>369</v>
      </c>
      <c r="B25" s="105">
        <v>5</v>
      </c>
      <c r="C25" s="105">
        <v>2</v>
      </c>
      <c r="D25" s="105"/>
      <c r="E25" s="105"/>
      <c r="F25" s="105"/>
      <c r="G25" s="34" t="s">
        <v>370</v>
      </c>
      <c r="H25" s="105">
        <v>5</v>
      </c>
      <c r="I25" s="105">
        <v>4</v>
      </c>
      <c r="J25" s="105">
        <v>3</v>
      </c>
      <c r="K25" s="105">
        <v>2</v>
      </c>
      <c r="L25" s="105"/>
    </row>
    <row r="26" spans="1:12">
      <c r="A26" s="105"/>
      <c r="B26" s="105"/>
      <c r="C26" s="105"/>
      <c r="D26" s="105"/>
      <c r="E26" s="105"/>
      <c r="F26" s="105"/>
      <c r="G26" s="34" t="s">
        <v>371</v>
      </c>
      <c r="H26" s="105">
        <v>5</v>
      </c>
      <c r="I26" s="105">
        <v>4</v>
      </c>
      <c r="J26" s="105">
        <v>3</v>
      </c>
      <c r="K26" s="105">
        <v>2</v>
      </c>
      <c r="L26" s="105">
        <v>1</v>
      </c>
    </row>
    <row r="27" spans="1:12">
      <c r="A27" s="21" t="s">
        <v>372</v>
      </c>
      <c r="B27" s="105">
        <v>2</v>
      </c>
      <c r="C27" s="105"/>
      <c r="D27" s="105"/>
      <c r="E27" s="105"/>
      <c r="F27" s="105"/>
      <c r="G27" s="34" t="s">
        <v>373</v>
      </c>
      <c r="H27" s="105">
        <v>5</v>
      </c>
      <c r="I27" s="105">
        <v>4</v>
      </c>
      <c r="J27" s="105">
        <v>3</v>
      </c>
      <c r="K27" s="105">
        <v>2</v>
      </c>
      <c r="L27" s="105">
        <v>1</v>
      </c>
    </row>
    <row r="28" spans="1:12">
      <c r="A28" s="105"/>
      <c r="B28" s="105"/>
      <c r="C28" s="105"/>
      <c r="D28" s="105"/>
      <c r="E28" s="105"/>
      <c r="F28" s="105"/>
      <c r="G28" s="34" t="s">
        <v>374</v>
      </c>
      <c r="H28" s="105">
        <v>5</v>
      </c>
      <c r="I28" s="105">
        <v>4</v>
      </c>
      <c r="J28" s="105">
        <v>3</v>
      </c>
      <c r="K28" s="105">
        <v>2</v>
      </c>
      <c r="L28" s="105">
        <v>1</v>
      </c>
    </row>
    <row r="29" spans="1:12">
      <c r="A29" s="105"/>
      <c r="B29" s="105"/>
      <c r="C29" s="105"/>
      <c r="D29" s="105"/>
      <c r="E29" s="105"/>
      <c r="F29" s="105"/>
      <c r="G29" s="34" t="s">
        <v>375</v>
      </c>
      <c r="H29" s="105">
        <v>5</v>
      </c>
      <c r="I29" s="105">
        <v>4</v>
      </c>
      <c r="J29" s="105">
        <v>3</v>
      </c>
      <c r="K29" s="105">
        <v>2</v>
      </c>
      <c r="L29" s="105">
        <v>1</v>
      </c>
    </row>
    <row r="30" spans="1:12">
      <c r="A30" s="105"/>
      <c r="B30" s="105"/>
      <c r="C30" s="105"/>
      <c r="D30" s="105"/>
      <c r="E30" s="105"/>
      <c r="F30" s="105"/>
      <c r="G30" s="34" t="s">
        <v>376</v>
      </c>
      <c r="H30" s="105">
        <v>5</v>
      </c>
      <c r="I30" s="105">
        <v>4</v>
      </c>
      <c r="J30" s="105">
        <v>3</v>
      </c>
      <c r="K30" s="105">
        <v>2</v>
      </c>
      <c r="L30" s="105">
        <v>1</v>
      </c>
    </row>
    <row r="31" spans="1:12" ht="14.45" thickBot="1">
      <c r="A31" s="105"/>
      <c r="B31" s="105"/>
      <c r="C31" s="105"/>
      <c r="D31" s="105"/>
      <c r="E31" s="105"/>
      <c r="F31" s="105"/>
      <c r="G31" s="35" t="s">
        <v>377</v>
      </c>
      <c r="H31" s="36">
        <v>5</v>
      </c>
      <c r="I31" s="36">
        <v>3</v>
      </c>
      <c r="J31" s="36">
        <v>1</v>
      </c>
      <c r="K31" s="105"/>
      <c r="L31" s="105"/>
    </row>
    <row r="32" spans="1:12">
      <c r="A32" s="105"/>
      <c r="B32" s="105"/>
      <c r="C32" s="105"/>
      <c r="D32" s="105"/>
      <c r="E32" s="105"/>
      <c r="F32" s="105"/>
      <c r="G32" s="34" t="s">
        <v>378</v>
      </c>
      <c r="H32" s="105">
        <v>5</v>
      </c>
      <c r="I32" s="105">
        <v>3</v>
      </c>
      <c r="J32" s="105">
        <v>1</v>
      </c>
      <c r="K32" s="105"/>
      <c r="L32" s="105"/>
    </row>
    <row r="33" spans="7:10">
      <c r="G33" s="34" t="s">
        <v>379</v>
      </c>
      <c r="H33" s="105">
        <v>5</v>
      </c>
      <c r="I33" s="105">
        <v>3</v>
      </c>
      <c r="J33" s="105">
        <v>1</v>
      </c>
    </row>
    <row r="34" spans="7:10">
      <c r="G34" s="34" t="s">
        <v>380</v>
      </c>
      <c r="H34" s="105">
        <v>5</v>
      </c>
      <c r="I34" s="105">
        <v>3</v>
      </c>
      <c r="J34" s="105">
        <v>1</v>
      </c>
    </row>
    <row r="35" spans="7:10">
      <c r="G35" s="34" t="s">
        <v>381</v>
      </c>
      <c r="H35" s="105">
        <v>5</v>
      </c>
      <c r="I35" s="105">
        <v>3</v>
      </c>
      <c r="J35" s="105">
        <v>1</v>
      </c>
    </row>
    <row r="36" spans="7:10">
      <c r="G36" s="34" t="s">
        <v>382</v>
      </c>
      <c r="H36" s="105">
        <v>5</v>
      </c>
      <c r="I36" s="105">
        <v>3</v>
      </c>
      <c r="J36" s="105">
        <v>1</v>
      </c>
    </row>
    <row r="37" spans="7:10">
      <c r="G37" s="34" t="s">
        <v>383</v>
      </c>
      <c r="H37" s="105">
        <v>5</v>
      </c>
      <c r="I37" s="105">
        <v>3</v>
      </c>
      <c r="J37" s="105">
        <v>1</v>
      </c>
    </row>
    <row r="39" spans="7:10">
      <c r="G39" s="34"/>
      <c r="H39" s="105"/>
      <c r="I39" s="105"/>
      <c r="J39" s="105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defaultColWidth="9.140625" defaultRowHeight="13.9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s="105" t="s">
        <v>384</v>
      </c>
      <c r="B1" s="105"/>
      <c r="C1" s="105"/>
      <c r="D1" s="105"/>
      <c r="E1" s="105"/>
      <c r="F1" s="105"/>
      <c r="G1" s="105"/>
      <c r="H1" s="105"/>
      <c r="I1" s="105"/>
      <c r="J1" s="105"/>
    </row>
    <row r="3" spans="1:10">
      <c r="A3" s="105"/>
      <c r="B3" s="105"/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A4" s="105"/>
      <c r="B4" s="105"/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>
      <c r="A5" s="105"/>
      <c r="B5" s="105"/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>
      <c r="A6" s="105"/>
      <c r="B6" s="105"/>
      <c r="C6" s="104" t="s">
        <v>391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>
      <c r="A8" s="105"/>
      <c r="B8" s="105" t="s">
        <v>392</v>
      </c>
      <c r="C8" s="105">
        <v>1</v>
      </c>
      <c r="D8" s="105">
        <v>2</v>
      </c>
      <c r="E8" s="105"/>
      <c r="F8" s="105"/>
      <c r="G8" s="105"/>
      <c r="H8" s="105"/>
      <c r="I8" s="105"/>
      <c r="J8" s="105"/>
    </row>
    <row r="9" spans="1:10">
      <c r="A9" s="105"/>
      <c r="B9" s="105"/>
      <c r="C9" s="105">
        <v>3</v>
      </c>
      <c r="D9" s="105">
        <v>4</v>
      </c>
      <c r="E9" s="105"/>
      <c r="F9" s="105"/>
      <c r="G9" s="105"/>
      <c r="H9" s="105"/>
      <c r="I9" s="105"/>
      <c r="J9" s="105"/>
    </row>
    <row r="11" spans="1:10">
      <c r="A11" s="105"/>
      <c r="B11" s="105" t="s">
        <v>393</v>
      </c>
      <c r="C11" s="105" t="s">
        <v>394</v>
      </c>
      <c r="D11" s="105" t="s">
        <v>395</v>
      </c>
      <c r="E11" s="105"/>
      <c r="F11" s="105"/>
      <c r="G11" s="105"/>
      <c r="H11" s="105"/>
      <c r="I11" s="105"/>
      <c r="J11" s="105"/>
    </row>
    <row r="12" spans="1:10">
      <c r="A12" s="105"/>
      <c r="B12" s="105"/>
      <c r="C12" s="105">
        <v>3</v>
      </c>
      <c r="D12" s="105">
        <v>4</v>
      </c>
      <c r="E12" s="105"/>
      <c r="F12" s="105"/>
      <c r="G12" s="105"/>
      <c r="H12" s="105"/>
      <c r="I12" s="105"/>
      <c r="J12" s="105"/>
    </row>
    <row r="14" spans="1:10">
      <c r="A14" s="105"/>
      <c r="B14" s="105" t="s">
        <v>396</v>
      </c>
      <c r="C14" s="105">
        <v>1</v>
      </c>
      <c r="D14" s="105">
        <v>2</v>
      </c>
      <c r="E14" s="105"/>
      <c r="F14" s="105"/>
      <c r="G14" s="105"/>
      <c r="H14" s="105"/>
      <c r="I14" s="105"/>
      <c r="J14" s="105"/>
    </row>
    <row r="15" spans="1:10">
      <c r="A15" s="105"/>
      <c r="B15" s="105"/>
      <c r="C15" s="105">
        <v>3</v>
      </c>
      <c r="D15" s="105">
        <v>4</v>
      </c>
      <c r="E15" s="105"/>
      <c r="F15" s="105"/>
      <c r="G15" s="105"/>
      <c r="H15" s="105"/>
      <c r="I15" s="105"/>
      <c r="J15" s="105"/>
    </row>
    <row r="17" spans="2:4">
      <c r="B17" s="105" t="s">
        <v>397</v>
      </c>
      <c r="C17" s="105">
        <v>1</v>
      </c>
      <c r="D17" s="105">
        <v>2</v>
      </c>
    </row>
    <row r="18" spans="2:4">
      <c r="B18" s="105"/>
      <c r="C18" s="105">
        <v>3</v>
      </c>
      <c r="D18" s="105">
        <v>4</v>
      </c>
    </row>
    <row r="20" spans="2:4">
      <c r="B20" s="105" t="s">
        <v>398</v>
      </c>
      <c r="C20" s="105">
        <v>1</v>
      </c>
      <c r="D20" s="105">
        <v>2</v>
      </c>
    </row>
    <row r="21" spans="2:4">
      <c r="B21" s="105"/>
      <c r="C21" s="105">
        <v>3</v>
      </c>
      <c r="D21" s="105">
        <v>4</v>
      </c>
    </row>
    <row r="23" spans="2:4">
      <c r="B23" s="105" t="s">
        <v>399</v>
      </c>
      <c r="C23" s="105">
        <v>1</v>
      </c>
      <c r="D23" s="105">
        <v>2</v>
      </c>
    </row>
    <row r="24" spans="2:4">
      <c r="B24" s="105"/>
      <c r="C24" s="105">
        <v>3</v>
      </c>
      <c r="D24" s="105">
        <v>4</v>
      </c>
    </row>
    <row r="26" spans="2:4">
      <c r="B26" s="105" t="s">
        <v>400</v>
      </c>
      <c r="C26" s="105">
        <v>1</v>
      </c>
      <c r="D26" s="105">
        <v>2</v>
      </c>
    </row>
    <row r="27" spans="2:4">
      <c r="B27" s="105"/>
      <c r="C27" s="105">
        <v>3</v>
      </c>
      <c r="D27" s="105">
        <v>4</v>
      </c>
    </row>
    <row r="28" spans="2:4">
      <c r="B28" s="105"/>
      <c r="C28" s="105" t="s">
        <v>391</v>
      </c>
      <c r="D28" s="105">
        <f>SUBTOTAL(109,Table4910[Column2])</f>
        <v>6</v>
      </c>
    </row>
    <row r="30" spans="2:4">
      <c r="B30" s="105" t="s">
        <v>401</v>
      </c>
      <c r="C30" s="105" t="s">
        <v>402</v>
      </c>
      <c r="D30" s="105" t="s">
        <v>403</v>
      </c>
    </row>
    <row r="31" spans="2:4" hidden="1">
      <c r="B31" s="105"/>
      <c r="C31" s="105" t="s">
        <v>404</v>
      </c>
      <c r="D31" s="105" t="s">
        <v>404</v>
      </c>
    </row>
    <row r="32" spans="2:4">
      <c r="B32" s="105"/>
      <c r="C32" s="105" t="s">
        <v>405</v>
      </c>
      <c r="D32" s="105" t="s">
        <v>405</v>
      </c>
    </row>
    <row r="34" spans="2:2">
      <c r="B34" s="105" t="s">
        <v>406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3.9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>
      <c r="A1" s="92" t="s">
        <v>407</v>
      </c>
      <c r="B1" s="17"/>
      <c r="C1" s="17"/>
      <c r="D1" s="17"/>
      <c r="E1" s="17"/>
      <c r="F1" s="17"/>
      <c r="G1" s="105"/>
      <c r="H1" s="105"/>
      <c r="I1" s="105"/>
      <c r="J1" s="105"/>
      <c r="K1" s="105"/>
      <c r="L1" s="105"/>
    </row>
    <row r="2" spans="1:12">
      <c r="A2" s="104"/>
      <c r="B2" s="104"/>
      <c r="C2" s="104"/>
      <c r="D2" s="104"/>
      <c r="E2" s="104"/>
      <c r="F2" s="104"/>
      <c r="G2" s="105"/>
      <c r="H2" s="105"/>
      <c r="I2" s="105"/>
      <c r="J2" s="105"/>
      <c r="K2" s="105"/>
      <c r="L2" s="105"/>
    </row>
    <row r="3" spans="1:12">
      <c r="A3" s="104"/>
      <c r="B3" s="104"/>
      <c r="C3" s="89" t="s">
        <v>408</v>
      </c>
      <c r="D3" s="89" t="s">
        <v>409</v>
      </c>
      <c r="E3" s="105"/>
      <c r="F3" s="105"/>
      <c r="G3" s="105"/>
      <c r="H3" s="105"/>
      <c r="I3" s="105"/>
      <c r="J3" s="105"/>
      <c r="K3" s="105"/>
      <c r="L3" s="105"/>
    </row>
    <row r="4" spans="1:12">
      <c r="A4" s="104"/>
      <c r="B4" s="104"/>
      <c r="C4" s="89" t="s">
        <v>410</v>
      </c>
      <c r="D4" s="105">
        <v>12.1</v>
      </c>
      <c r="E4" s="105">
        <v>252.4</v>
      </c>
      <c r="F4" s="105">
        <v>500.9</v>
      </c>
      <c r="G4" s="105">
        <v>1204.7</v>
      </c>
      <c r="H4" s="105">
        <v>4000</v>
      </c>
      <c r="I4" s="105">
        <v>4701.3</v>
      </c>
      <c r="J4" s="105">
        <v>4890.1000000000004</v>
      </c>
      <c r="K4" s="105">
        <v>12052</v>
      </c>
      <c r="L4" s="105" t="s">
        <v>411</v>
      </c>
    </row>
    <row r="5" spans="1:12">
      <c r="A5" s="104"/>
      <c r="B5" s="104"/>
      <c r="C5" s="90" t="s">
        <v>55</v>
      </c>
      <c r="D5" s="105"/>
      <c r="E5" s="105"/>
      <c r="F5" s="105"/>
      <c r="G5" s="105"/>
      <c r="H5" s="105"/>
      <c r="I5" s="105"/>
      <c r="J5" s="105"/>
      <c r="K5" s="105">
        <v>30</v>
      </c>
      <c r="L5" s="105">
        <v>30</v>
      </c>
    </row>
    <row r="6" spans="1:12">
      <c r="A6" s="104"/>
      <c r="B6" s="104"/>
      <c r="C6" s="91">
        <v>256018</v>
      </c>
      <c r="D6" s="105"/>
      <c r="E6" s="105"/>
      <c r="F6" s="105"/>
      <c r="G6" s="105"/>
      <c r="H6" s="105"/>
      <c r="I6" s="105"/>
      <c r="J6" s="105"/>
      <c r="K6" s="105">
        <v>30</v>
      </c>
      <c r="L6" s="105">
        <v>30</v>
      </c>
    </row>
    <row r="7" spans="1:12">
      <c r="A7" s="104"/>
      <c r="B7" s="104"/>
      <c r="C7" s="90" t="s">
        <v>46</v>
      </c>
      <c r="D7" s="105"/>
      <c r="E7" s="105">
        <v>26</v>
      </c>
      <c r="F7" s="105"/>
      <c r="G7" s="105"/>
      <c r="H7" s="105"/>
      <c r="I7" s="105"/>
      <c r="J7" s="105"/>
      <c r="K7" s="105"/>
      <c r="L7" s="105">
        <v>26</v>
      </c>
    </row>
    <row r="8" spans="1:12">
      <c r="A8" s="104"/>
      <c r="B8" s="104"/>
      <c r="C8" s="91">
        <v>110120.5</v>
      </c>
      <c r="D8" s="105"/>
      <c r="E8" s="105">
        <v>26</v>
      </c>
      <c r="F8" s="105"/>
      <c r="G8" s="105"/>
      <c r="H8" s="105"/>
      <c r="I8" s="105"/>
      <c r="J8" s="105"/>
      <c r="K8" s="105"/>
      <c r="L8" s="105">
        <v>26</v>
      </c>
    </row>
    <row r="9" spans="1:12">
      <c r="A9" s="104"/>
      <c r="B9" s="104"/>
      <c r="C9" s="90" t="s">
        <v>42</v>
      </c>
      <c r="D9" s="105"/>
      <c r="E9" s="105"/>
      <c r="F9" s="105"/>
      <c r="G9" s="105">
        <v>26</v>
      </c>
      <c r="H9" s="105"/>
      <c r="I9" s="105"/>
      <c r="J9" s="105"/>
      <c r="K9" s="105"/>
      <c r="L9" s="105">
        <v>26</v>
      </c>
    </row>
    <row r="10" spans="1:12">
      <c r="A10" s="104"/>
      <c r="B10" s="104"/>
      <c r="C10" s="91">
        <v>25618</v>
      </c>
      <c r="D10" s="105"/>
      <c r="E10" s="105"/>
      <c r="F10" s="105"/>
      <c r="G10" s="105">
        <v>26</v>
      </c>
      <c r="H10" s="105"/>
      <c r="I10" s="105"/>
      <c r="J10" s="105"/>
      <c r="K10" s="105"/>
      <c r="L10" s="105">
        <v>26</v>
      </c>
    </row>
    <row r="11" spans="1:12">
      <c r="A11" s="105"/>
      <c r="B11" s="105"/>
      <c r="C11" s="90" t="s">
        <v>44</v>
      </c>
      <c r="D11" s="105"/>
      <c r="E11" s="105"/>
      <c r="F11" s="105">
        <v>13</v>
      </c>
      <c r="G11" s="105"/>
      <c r="H11" s="105"/>
      <c r="I11" s="105"/>
      <c r="J11" s="105"/>
      <c r="K11" s="105"/>
      <c r="L11" s="105">
        <v>13</v>
      </c>
    </row>
    <row r="12" spans="1:12">
      <c r="A12" s="105"/>
      <c r="B12" s="105"/>
      <c r="C12" s="91">
        <v>23000</v>
      </c>
      <c r="D12" s="105"/>
      <c r="E12" s="105"/>
      <c r="F12" s="105">
        <v>13</v>
      </c>
      <c r="G12" s="105"/>
      <c r="H12" s="105"/>
      <c r="I12" s="105"/>
      <c r="J12" s="105"/>
      <c r="K12" s="105"/>
      <c r="L12" s="105">
        <v>13</v>
      </c>
    </row>
    <row r="13" spans="1:12">
      <c r="A13" s="105"/>
      <c r="B13" s="105"/>
      <c r="C13" s="90" t="s">
        <v>50</v>
      </c>
      <c r="D13" s="105">
        <v>9</v>
      </c>
      <c r="E13" s="105"/>
      <c r="F13" s="105"/>
      <c r="G13" s="105"/>
      <c r="H13" s="105"/>
      <c r="I13" s="105"/>
      <c r="J13" s="105"/>
      <c r="K13" s="105"/>
      <c r="L13" s="105">
        <v>9</v>
      </c>
    </row>
    <row r="14" spans="1:12">
      <c r="A14" s="105"/>
      <c r="B14" s="105"/>
      <c r="C14" s="91">
        <v>2</v>
      </c>
      <c r="D14" s="105">
        <v>9</v>
      </c>
      <c r="E14" s="105"/>
      <c r="F14" s="105"/>
      <c r="G14" s="105"/>
      <c r="H14" s="105"/>
      <c r="I14" s="105"/>
      <c r="J14" s="105"/>
      <c r="K14" s="105"/>
      <c r="L14" s="105">
        <v>9</v>
      </c>
    </row>
    <row r="15" spans="1:12">
      <c r="A15" s="105"/>
      <c r="B15" s="105"/>
      <c r="C15" s="90" t="s">
        <v>48</v>
      </c>
      <c r="D15" s="105"/>
      <c r="E15" s="105"/>
      <c r="F15" s="105"/>
      <c r="G15" s="105"/>
      <c r="H15" s="105"/>
      <c r="I15" s="105">
        <v>42</v>
      </c>
      <c r="J15" s="105"/>
      <c r="K15" s="105"/>
      <c r="L15" s="105">
        <v>42</v>
      </c>
    </row>
    <row r="16" spans="1:12">
      <c r="A16" s="105"/>
      <c r="B16" s="105"/>
      <c r="C16" s="91">
        <v>50024</v>
      </c>
      <c r="D16" s="105"/>
      <c r="E16" s="105"/>
      <c r="F16" s="105"/>
      <c r="G16" s="105"/>
      <c r="H16" s="105"/>
      <c r="I16" s="105">
        <v>42</v>
      </c>
      <c r="J16" s="105"/>
      <c r="K16" s="105"/>
      <c r="L16" s="105">
        <v>42</v>
      </c>
    </row>
    <row r="17" spans="3:12">
      <c r="C17" s="90" t="s">
        <v>53</v>
      </c>
      <c r="D17" s="105"/>
      <c r="E17" s="105"/>
      <c r="F17" s="105"/>
      <c r="G17" s="105"/>
      <c r="H17" s="105">
        <v>27</v>
      </c>
      <c r="I17" s="105"/>
      <c r="J17" s="105"/>
      <c r="K17" s="105"/>
      <c r="L17" s="105">
        <v>27</v>
      </c>
    </row>
    <row r="18" spans="3:12">
      <c r="C18" s="91">
        <v>189576</v>
      </c>
      <c r="D18" s="105"/>
      <c r="E18" s="105"/>
      <c r="F18" s="105"/>
      <c r="G18" s="105"/>
      <c r="H18" s="105">
        <v>27</v>
      </c>
      <c r="I18" s="105"/>
      <c r="J18" s="105"/>
      <c r="K18" s="105"/>
      <c r="L18" s="105">
        <v>27</v>
      </c>
    </row>
    <row r="19" spans="3:12">
      <c r="C19" s="90" t="s">
        <v>57</v>
      </c>
      <c r="D19" s="105"/>
      <c r="E19" s="105"/>
      <c r="F19" s="105"/>
      <c r="G19" s="105"/>
      <c r="H19" s="105"/>
      <c r="I19" s="105"/>
      <c r="J19" s="105">
        <v>37</v>
      </c>
      <c r="K19" s="105"/>
      <c r="L19" s="105">
        <v>37</v>
      </c>
    </row>
    <row r="20" spans="3:12">
      <c r="C20" s="91">
        <v>5000</v>
      </c>
      <c r="D20" s="105"/>
      <c r="E20" s="105"/>
      <c r="F20" s="105"/>
      <c r="G20" s="105"/>
      <c r="H20" s="105"/>
      <c r="I20" s="105"/>
      <c r="J20" s="105">
        <v>37</v>
      </c>
      <c r="K20" s="105"/>
      <c r="L20" s="105">
        <v>37</v>
      </c>
    </row>
    <row r="21" spans="3:12">
      <c r="C21" s="90" t="s">
        <v>411</v>
      </c>
      <c r="D21" s="105">
        <v>9</v>
      </c>
      <c r="E21" s="105">
        <v>26</v>
      </c>
      <c r="F21" s="105">
        <v>13</v>
      </c>
      <c r="G21" s="105">
        <v>26</v>
      </c>
      <c r="H21" s="105">
        <v>27</v>
      </c>
      <c r="I21" s="105">
        <v>42</v>
      </c>
      <c r="J21" s="105">
        <v>37</v>
      </c>
      <c r="K21" s="105">
        <v>30</v>
      </c>
      <c r="L21" s="105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B2" zoomScaleNormal="100" workbookViewId="0">
      <selection activeCell="B58" sqref="B58"/>
    </sheetView>
  </sheetViews>
  <sheetFormatPr defaultColWidth="13.7109375" defaultRowHeight="13.9"/>
  <cols>
    <col min="1" max="1" width="65.140625" customWidth="1"/>
    <col min="2" max="26" width="13.7109375" customWidth="1"/>
  </cols>
  <sheetData>
    <row r="1" spans="1:2">
      <c r="A1" s="105" t="s">
        <v>412</v>
      </c>
      <c r="B1" s="105"/>
    </row>
    <row r="2" spans="1:2">
      <c r="A2" s="105" t="s">
        <v>413</v>
      </c>
      <c r="B2" s="104"/>
    </row>
    <row r="3" spans="1:2">
      <c r="A3" s="105" t="s">
        <v>414</v>
      </c>
      <c r="B3" s="105"/>
    </row>
    <row r="4" spans="1:2">
      <c r="A4" s="105" t="s">
        <v>415</v>
      </c>
      <c r="B4" s="105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"/>
  <sheetViews>
    <sheetView showGridLines="0" workbookViewId="0">
      <selection activeCell="E29" sqref="E29"/>
    </sheetView>
  </sheetViews>
  <sheetFormatPr defaultColWidth="8.85546875" defaultRowHeight="13.9"/>
  <sheetData>
    <row r="1" spans="1:1" ht="55.15">
      <c r="A1" s="99" t="s">
        <v>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3.9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3.9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3.9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H5"/>
  <sheetViews>
    <sheetView workbookViewId="0"/>
  </sheetViews>
  <sheetFormatPr defaultRowHeight="12.75"/>
  <sheetData>
    <row r="1" spans="1:8">
      <c r="A1" s="111">
        <v>4</v>
      </c>
      <c r="B1" s="112">
        <v>99.5</v>
      </c>
      <c r="C1" s="112">
        <v>1</v>
      </c>
      <c r="D1" s="113">
        <v>45575</v>
      </c>
      <c r="E1" s="114">
        <v>0.64583333333333337</v>
      </c>
      <c r="F1" s="114" t="s">
        <v>417</v>
      </c>
      <c r="G1" s="113">
        <v>45292</v>
      </c>
      <c r="H1" s="115">
        <v>4</v>
      </c>
    </row>
    <row r="2" spans="1:8">
      <c r="A2" s="116">
        <v>3</v>
      </c>
      <c r="B2" s="117">
        <v>40</v>
      </c>
      <c r="C2" s="117">
        <v>2</v>
      </c>
      <c r="D2" s="118">
        <v>45576</v>
      </c>
      <c r="E2" s="119">
        <v>0.57638888888888884</v>
      </c>
      <c r="F2" s="119" t="s">
        <v>418</v>
      </c>
      <c r="G2" s="118">
        <v>45231</v>
      </c>
      <c r="H2" s="120" t="s">
        <v>417</v>
      </c>
    </row>
    <row r="3" spans="1:8">
      <c r="A3" s="116">
        <v>9</v>
      </c>
      <c r="B3" s="117">
        <v>0</v>
      </c>
      <c r="C3" s="117">
        <v>3</v>
      </c>
      <c r="D3" s="118">
        <v>45574</v>
      </c>
      <c r="E3" s="119">
        <v>0.73958333333333337</v>
      </c>
      <c r="F3" s="119" t="s">
        <v>419</v>
      </c>
      <c r="G3" s="118">
        <v>45325</v>
      </c>
      <c r="H3" s="120">
        <v>3</v>
      </c>
    </row>
    <row r="4" spans="1:8">
      <c r="A4" s="116">
        <v>5</v>
      </c>
      <c r="B4" s="117">
        <v>120</v>
      </c>
      <c r="C4" s="117">
        <v>4</v>
      </c>
      <c r="D4" s="118">
        <v>45573</v>
      </c>
      <c r="E4" s="119">
        <v>0.66666666666666663</v>
      </c>
      <c r="F4" s="117" t="s">
        <v>420</v>
      </c>
      <c r="G4" s="118">
        <v>45084</v>
      </c>
      <c r="H4" s="120">
        <v>3</v>
      </c>
    </row>
    <row r="5" spans="1:8">
      <c r="A5" s="121">
        <v>7</v>
      </c>
      <c r="B5" s="122">
        <v>12</v>
      </c>
      <c r="C5" s="122">
        <v>5</v>
      </c>
      <c r="D5" s="123">
        <v>45566</v>
      </c>
      <c r="E5" s="124">
        <v>0.5229166666666667</v>
      </c>
      <c r="F5" s="122" t="s">
        <v>421</v>
      </c>
      <c r="G5" s="123">
        <v>45420</v>
      </c>
      <c r="H5" s="125" t="s">
        <v>420</v>
      </c>
    </row>
  </sheetData>
  <dataValidations count="8">
    <dataValidation type="whole" errorStyle="warning" allowBlank="1" showInputMessage="1" showErrorMessage="1" sqref="A1:A5" xr:uid="{B9309757-E2F4-49A1-880B-2F47F04364D6}">
      <formula1>1</formula1>
      <formula2>5</formula2>
    </dataValidation>
    <dataValidation type="decimal" allowBlank="1" showInputMessage="1" showErrorMessage="1" sqref="B1:B5" xr:uid="{7B68D26A-1B1D-4327-906D-753CF39E281C}">
      <formula1>1</formula1>
      <formula2>100</formula2>
    </dataValidation>
    <dataValidation type="list" errorStyle="warning" allowBlank="1" showInputMessage="1" showErrorMessage="1" sqref="C1:C5" xr:uid="{1150F523-8C6C-482F-8738-910EECBB2A28}">
      <formula1>$C$1:$C$5</formula1>
    </dataValidation>
    <dataValidation type="date" errorStyle="warning" operator="notEqual" allowBlank="1" showInputMessage="1" showErrorMessage="1" sqref="D1:D5" xr:uid="{54DB89C3-BBA6-4A2D-B5BB-AC6E00AEE4DA}">
      <formula1>45575</formula1>
    </dataValidation>
    <dataValidation type="time" errorStyle="warning" allowBlank="1" showInputMessage="1" showErrorMessage="1" sqref="E1:E5" xr:uid="{EF20CA15-C64F-4A4E-82C5-8291CBEAEB85}">
      <formula1>0.625</formula1>
      <formula2>0.75</formula2>
    </dataValidation>
    <dataValidation type="textLength" errorStyle="warning" allowBlank="1" showInputMessage="1" showErrorMessage="1" sqref="F1:F5" xr:uid="{C9CA9AA5-9067-42E1-AC95-BEC22F4C4C16}">
      <formula1>1</formula1>
      <formula2>5</formula2>
    </dataValidation>
    <dataValidation type="custom" errorStyle="warning" allowBlank="1" showInputMessage="1" showErrorMessage="1" sqref="H1:H5" xr:uid="{B1282AE0-81A7-4F83-934D-520FB78380E5}">
      <formula1>ISNUMBER(H1)</formula1>
    </dataValidation>
    <dataValidation type="date" errorStyle="warning" operator="greaterThan" allowBlank="1" showInputMessage="1" showErrorMessage="1" sqref="G1:G5" xr:uid="{A800671A-DD3E-492C-AC04-70928416B8CA}">
      <formula1>45261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2024-10-22T14:46:10Z</dcterms:modified>
  <cp:category/>
  <cp:contentStatus/>
</cp:coreProperties>
</file>